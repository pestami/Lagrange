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esa237770\Documents\"/>
    </mc:Choice>
  </mc:AlternateContent>
  <xr:revisionPtr revIDLastSave="0" documentId="13_ncr:1_{6F645268-2491-4F04-88E1-1D82B9E04B9C}" xr6:coauthVersionLast="41" xr6:coauthVersionMax="41" xr10:uidLastSave="{00000000-0000-0000-0000-000000000000}"/>
  <bookViews>
    <workbookView xWindow="-19320" yWindow="-120" windowWidth="19440" windowHeight="15000" activeTab="2" xr2:uid="{00000000-000D-0000-FFFF-FFFF00000000}"/>
  </bookViews>
  <sheets>
    <sheet name="Gradient" sheetId="1" r:id="rId1"/>
    <sheet name="E-Bands" sheetId="2" r:id="rId2"/>
    <sheet name="Frequencies" sheetId="3" r:id="rId3"/>
  </sheets>
  <definedNames>
    <definedName name="_C">Frequencies!$G$9</definedName>
    <definedName name="nC">Frequencies!$F$3</definedName>
  </definedNames>
  <calcPr calcId="191029" calcMode="manual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5" i="3" l="1"/>
  <c r="F21" i="3"/>
  <c r="F20" i="3"/>
  <c r="D12" i="3"/>
  <c r="D11" i="3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</calcChain>
</file>

<file path=xl/sharedStrings.xml><?xml version="1.0" encoding="utf-8"?>
<sst xmlns="http://schemas.openxmlformats.org/spreadsheetml/2006/main" count="280" uniqueCount="26">
  <si>
    <r>
      <t>e</t>
    </r>
    <r>
      <rPr>
        <vertAlign val="superscript"/>
        <sz val="11"/>
        <color theme="1"/>
        <rFont val="Calibri"/>
        <family val="2"/>
        <scheme val="minor"/>
      </rPr>
      <t>-</t>
    </r>
  </si>
  <si>
    <t>100V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</si>
  <si>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</si>
  <si>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</si>
  <si>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</si>
  <si>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</si>
  <si>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</si>
  <si>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</si>
  <si>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</si>
  <si>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</si>
  <si>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</si>
  <si>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</si>
  <si>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Visible</t>
  </si>
  <si>
    <t>nm</t>
  </si>
  <si>
    <t>Hz</t>
  </si>
  <si>
    <t>RADIO</t>
  </si>
  <si>
    <t>MHz</t>
  </si>
  <si>
    <t>m</t>
  </si>
  <si>
    <t>KHz</t>
  </si>
  <si>
    <t>Mirowave</t>
  </si>
  <si>
    <t>cm</t>
  </si>
  <si>
    <t>GHz</t>
  </si>
  <si>
    <t>m/s</t>
  </si>
  <si>
    <t>l</t>
  </si>
  <si>
    <t>f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</si>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</sst>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Fill="1" applyBorder="1"/>
    <xf numFmtId="11" fontId="0" fillId="0" borderId="0" xfId="0" applyNumberFormat="1"/>
    <xf numFmtId="169" fontId="0" fillId="0" borderId="0" xfId="0" applyNumberFormat="1"/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</xdr:row>
      <xdr:rowOff>171450</xdr:rowOff>
    </xdr:from>
    <xdr:to>
      <xdr:col>33</xdr:col>
      <xdr:colOff>47625</xdr:colOff>
      <xdr:row>3</xdr:row>
      <xdr:rowOff>66675</xdr:rowOff>
    </xdr:to>
    <xdr:sp macro="[0]!recalc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9D540B15-AB21-4329-A203-8E1DC05C3F55}"/>
            </a:ext>
          </a:extLst>
        </xdr:cNvPr>
        <xdr:cNvSpPr/>
      </xdr:nvSpPr>
      <xdr:spPr>
        <a:xfrm>
          <a:off x="4371975" y="361950"/>
          <a:ext cx="10191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4</xdr:row>
      <xdr:rowOff>66675</xdr:rowOff>
    </xdr:from>
    <xdr:to>
      <xdr:col>18</xdr:col>
      <xdr:colOff>66675</xdr:colOff>
      <xdr:row>4</xdr:row>
      <xdr:rowOff>66675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3DDC304A-4A1E-49C9-B87E-E704A5705489}"/>
            </a:ext>
          </a:extLst>
        </xdr:cNvPr>
        <xdr:cNvCxnSpPr/>
      </xdr:nvCxnSpPr>
      <xdr:spPr>
        <a:xfrm flipH="1">
          <a:off x="2266950" y="828675"/>
          <a:ext cx="6572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38101</xdr:colOff>
      <xdr:row>10</xdr:row>
      <xdr:rowOff>85725</xdr:rowOff>
    </xdr:from>
    <xdr:to>
      <xdr:col>28</xdr:col>
      <xdr:colOff>95250</xdr:colOff>
      <xdr:row>10</xdr:row>
      <xdr:rowOff>85725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68B717AF-50C1-407B-87D7-8C19C7E0B220}"/>
            </a:ext>
          </a:extLst>
        </xdr:cNvPr>
        <xdr:cNvCxnSpPr/>
      </xdr:nvCxnSpPr>
      <xdr:spPr>
        <a:xfrm>
          <a:off x="3810001" y="2019300"/>
          <a:ext cx="66674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38101</xdr:colOff>
      <xdr:row>10</xdr:row>
      <xdr:rowOff>85725</xdr:rowOff>
    </xdr:from>
    <xdr:to>
      <xdr:col>64</xdr:col>
      <xdr:colOff>95250</xdr:colOff>
      <xdr:row>10</xdr:row>
      <xdr:rowOff>85725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E9473406-486C-41EC-8670-877A2A83A4FD}"/>
            </a:ext>
          </a:extLst>
        </xdr:cNvPr>
        <xdr:cNvCxnSpPr/>
      </xdr:nvCxnSpPr>
      <xdr:spPr>
        <a:xfrm>
          <a:off x="3810001" y="2019300"/>
          <a:ext cx="66674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161924</xdr:rowOff>
    </xdr:from>
    <xdr:to>
      <xdr:col>3</xdr:col>
      <xdr:colOff>180975</xdr:colOff>
      <xdr:row>4</xdr:row>
      <xdr:rowOff>103461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26D4DDBB-23BD-4ECB-B190-72A957E67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400" y="161924"/>
          <a:ext cx="971550" cy="703537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2</xdr:row>
      <xdr:rowOff>76200</xdr:rowOff>
    </xdr:from>
    <xdr:to>
      <xdr:col>14</xdr:col>
      <xdr:colOff>298095</xdr:colOff>
      <xdr:row>17</xdr:row>
      <xdr:rowOff>189792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E4180E05-6380-4ECD-A187-8EB854958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72050" y="457200"/>
          <a:ext cx="4489095" cy="29710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Q6:AY23"/>
  <sheetViews>
    <sheetView workbookViewId="0">
      <selection activeCell="P41" sqref="P41"/>
    </sheetView>
  </sheetViews>
  <sheetFormatPr baseColWidth="10" defaultColWidth="2.42578125" defaultRowHeight="15" x14ac:dyDescent="0.25"/>
  <cols>
    <col min="17" max="17" width="2.5703125" bestFit="1" customWidth="1"/>
    <col min="18" max="18" width="3.140625" bestFit="1" customWidth="1"/>
    <col min="19" max="40" width="2.5703125" bestFit="1" customWidth="1"/>
    <col min="41" max="49" width="3" bestFit="1" customWidth="1"/>
    <col min="50" max="50" width="3.140625" customWidth="1"/>
    <col min="51" max="51" width="3.140625" bestFit="1" customWidth="1"/>
  </cols>
  <sheetData>
    <row r="6" spans="17:51" x14ac:dyDescent="0.25">
      <c r="Q6">
        <f ca="1">+IF(Q6+1=2,0,Q6+1)</f>
        <v>1</v>
      </c>
      <c r="R6">
        <f ca="1">+Q6</f>
        <v>1</v>
      </c>
      <c r="S6">
        <f t="shared" ref="S6:AX6" ca="1" si="0">+R6</f>
        <v>1</v>
      </c>
      <c r="T6">
        <f t="shared" ca="1" si="0"/>
        <v>1</v>
      </c>
      <c r="U6">
        <f t="shared" ca="1" si="0"/>
        <v>1</v>
      </c>
      <c r="V6">
        <f t="shared" ca="1" si="0"/>
        <v>1</v>
      </c>
      <c r="W6">
        <f t="shared" ca="1" si="0"/>
        <v>1</v>
      </c>
      <c r="X6">
        <f t="shared" ca="1" si="0"/>
        <v>1</v>
      </c>
      <c r="Y6">
        <f t="shared" ca="1" si="0"/>
        <v>1</v>
      </c>
      <c r="Z6">
        <f t="shared" ca="1" si="0"/>
        <v>1</v>
      </c>
      <c r="AA6">
        <f t="shared" ca="1" si="0"/>
        <v>1</v>
      </c>
      <c r="AB6">
        <f t="shared" ca="1" si="0"/>
        <v>1</v>
      </c>
      <c r="AC6">
        <f t="shared" ca="1" si="0"/>
        <v>1</v>
      </c>
      <c r="AD6">
        <f t="shared" ca="1" si="0"/>
        <v>1</v>
      </c>
      <c r="AE6">
        <f t="shared" ca="1" si="0"/>
        <v>1</v>
      </c>
      <c r="AF6">
        <f t="shared" ca="1" si="0"/>
        <v>1</v>
      </c>
      <c r="AG6">
        <f t="shared" ca="1" si="0"/>
        <v>1</v>
      </c>
      <c r="AH6">
        <f t="shared" ca="1" si="0"/>
        <v>1</v>
      </c>
      <c r="AI6">
        <f t="shared" ca="1" si="0"/>
        <v>1</v>
      </c>
      <c r="AJ6">
        <f t="shared" ca="1" si="0"/>
        <v>1</v>
      </c>
      <c r="AK6">
        <f t="shared" ca="1" si="0"/>
        <v>1</v>
      </c>
      <c r="AL6">
        <f t="shared" ca="1" si="0"/>
        <v>1</v>
      </c>
      <c r="AM6">
        <f t="shared" ca="1" si="0"/>
        <v>1</v>
      </c>
      <c r="AN6">
        <f t="shared" ca="1" si="0"/>
        <v>1</v>
      </c>
      <c r="AO6">
        <f t="shared" ca="1" si="0"/>
        <v>1</v>
      </c>
      <c r="AP6">
        <f t="shared" ca="1" si="0"/>
        <v>1</v>
      </c>
      <c r="AQ6">
        <f t="shared" ca="1" si="0"/>
        <v>1</v>
      </c>
      <c r="AR6">
        <f t="shared" ca="1" si="0"/>
        <v>1</v>
      </c>
      <c r="AS6">
        <f t="shared" ca="1" si="0"/>
        <v>1</v>
      </c>
      <c r="AT6">
        <f t="shared" ca="1" si="0"/>
        <v>1</v>
      </c>
      <c r="AU6">
        <f t="shared" ca="1" si="0"/>
        <v>1</v>
      </c>
      <c r="AV6">
        <f t="shared" ca="1" si="0"/>
        <v>1</v>
      </c>
      <c r="AW6">
        <f t="shared" ca="1" si="0"/>
        <v>1</v>
      </c>
      <c r="AX6">
        <f t="shared" ca="1" si="0"/>
        <v>1</v>
      </c>
      <c r="AY6">
        <v>99</v>
      </c>
    </row>
    <row r="7" spans="17:51" x14ac:dyDescent="0.25">
      <c r="Q7">
        <f t="shared" ref="Q7:Q13" ca="1" si="1">+IF(Q7+1=2,0,Q7+1)</f>
        <v>1</v>
      </c>
      <c r="R7">
        <f t="shared" ref="R7:AX7" ca="1" si="2">+Q7</f>
        <v>1</v>
      </c>
      <c r="S7">
        <f t="shared" ca="1" si="2"/>
        <v>1</v>
      </c>
      <c r="T7">
        <f t="shared" ca="1" si="2"/>
        <v>1</v>
      </c>
      <c r="U7">
        <f t="shared" ca="1" si="2"/>
        <v>1</v>
      </c>
      <c r="V7">
        <f t="shared" ca="1" si="2"/>
        <v>1</v>
      </c>
      <c r="W7">
        <f t="shared" ca="1" si="2"/>
        <v>1</v>
      </c>
      <c r="X7">
        <f t="shared" ca="1" si="2"/>
        <v>1</v>
      </c>
      <c r="Y7">
        <f t="shared" ca="1" si="2"/>
        <v>1</v>
      </c>
      <c r="Z7">
        <f t="shared" ca="1" si="2"/>
        <v>1</v>
      </c>
      <c r="AA7">
        <f t="shared" ca="1" si="2"/>
        <v>1</v>
      </c>
      <c r="AB7">
        <f t="shared" ca="1" si="2"/>
        <v>1</v>
      </c>
      <c r="AC7">
        <f t="shared" ca="1" si="2"/>
        <v>1</v>
      </c>
      <c r="AD7">
        <f t="shared" ca="1" si="2"/>
        <v>1</v>
      </c>
      <c r="AE7">
        <f t="shared" ca="1" si="2"/>
        <v>1</v>
      </c>
      <c r="AF7">
        <f t="shared" ca="1" si="2"/>
        <v>1</v>
      </c>
      <c r="AG7">
        <f t="shared" ca="1" si="2"/>
        <v>1</v>
      </c>
      <c r="AH7">
        <f t="shared" ca="1" si="2"/>
        <v>1</v>
      </c>
      <c r="AI7">
        <f t="shared" ca="1" si="2"/>
        <v>1</v>
      </c>
      <c r="AJ7">
        <f t="shared" ca="1" si="2"/>
        <v>1</v>
      </c>
      <c r="AK7">
        <f t="shared" ca="1" si="2"/>
        <v>1</v>
      </c>
      <c r="AL7">
        <f t="shared" ca="1" si="2"/>
        <v>1</v>
      </c>
      <c r="AM7">
        <f t="shared" ca="1" si="2"/>
        <v>1</v>
      </c>
      <c r="AN7">
        <f t="shared" ca="1" si="2"/>
        <v>1</v>
      </c>
      <c r="AO7">
        <f t="shared" ca="1" si="2"/>
        <v>1</v>
      </c>
      <c r="AP7">
        <f t="shared" ca="1" si="2"/>
        <v>1</v>
      </c>
      <c r="AQ7">
        <f t="shared" ca="1" si="2"/>
        <v>1</v>
      </c>
      <c r="AR7">
        <f t="shared" ca="1" si="2"/>
        <v>1</v>
      </c>
      <c r="AS7">
        <f t="shared" ca="1" si="2"/>
        <v>1</v>
      </c>
      <c r="AT7">
        <f t="shared" ca="1" si="2"/>
        <v>1</v>
      </c>
      <c r="AU7">
        <f t="shared" ca="1" si="2"/>
        <v>1</v>
      </c>
      <c r="AV7">
        <f t="shared" ca="1" si="2"/>
        <v>1</v>
      </c>
      <c r="AW7">
        <f t="shared" ca="1" si="2"/>
        <v>1</v>
      </c>
      <c r="AX7">
        <f t="shared" ca="1" si="2"/>
        <v>1</v>
      </c>
      <c r="AY7">
        <v>99</v>
      </c>
    </row>
    <row r="8" spans="17:51" x14ac:dyDescent="0.25">
      <c r="Q8">
        <f t="shared" ca="1" si="1"/>
        <v>1</v>
      </c>
      <c r="R8">
        <f t="shared" ref="R8:AX8" ca="1" si="3">+Q8</f>
        <v>1</v>
      </c>
      <c r="S8">
        <f t="shared" ca="1" si="3"/>
        <v>1</v>
      </c>
      <c r="T8">
        <f t="shared" ca="1" si="3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3"/>
        <v>1</v>
      </c>
      <c r="AH8">
        <f t="shared" ca="1" si="3"/>
        <v>1</v>
      </c>
      <c r="AI8">
        <f t="shared" ca="1" si="3"/>
        <v>1</v>
      </c>
      <c r="AJ8">
        <f t="shared" ca="1" si="3"/>
        <v>1</v>
      </c>
      <c r="AK8">
        <f t="shared" ca="1" si="3"/>
        <v>1</v>
      </c>
      <c r="AL8">
        <f t="shared" ca="1" si="3"/>
        <v>1</v>
      </c>
      <c r="AM8">
        <f t="shared" ca="1" si="3"/>
        <v>1</v>
      </c>
      <c r="AN8">
        <f t="shared" ca="1" si="3"/>
        <v>1</v>
      </c>
      <c r="AO8">
        <f t="shared" ca="1" si="3"/>
        <v>1</v>
      </c>
      <c r="AP8">
        <f t="shared" ca="1" si="3"/>
        <v>1</v>
      </c>
      <c r="AQ8">
        <f t="shared" ca="1" si="3"/>
        <v>1</v>
      </c>
      <c r="AR8">
        <f t="shared" ca="1" si="3"/>
        <v>1</v>
      </c>
      <c r="AS8">
        <f t="shared" ca="1" si="3"/>
        <v>1</v>
      </c>
      <c r="AT8">
        <f t="shared" ca="1" si="3"/>
        <v>1</v>
      </c>
      <c r="AU8">
        <f t="shared" ca="1" si="3"/>
        <v>1</v>
      </c>
      <c r="AV8">
        <f t="shared" ca="1" si="3"/>
        <v>1</v>
      </c>
      <c r="AW8">
        <f t="shared" ca="1" si="3"/>
        <v>1</v>
      </c>
      <c r="AX8">
        <f t="shared" ca="1" si="3"/>
        <v>1</v>
      </c>
      <c r="AY8">
        <v>99</v>
      </c>
    </row>
    <row r="9" spans="17:51" x14ac:dyDescent="0.25">
      <c r="Q9">
        <f t="shared" ca="1" si="1"/>
        <v>1</v>
      </c>
      <c r="R9">
        <f t="shared" ref="R9:AX9" ca="1" si="4">+Q9</f>
        <v>1</v>
      </c>
      <c r="S9">
        <f t="shared" ca="1" si="4"/>
        <v>1</v>
      </c>
      <c r="T9">
        <f t="shared" ca="1" si="4"/>
        <v>1</v>
      </c>
      <c r="U9">
        <f t="shared" ca="1" si="4"/>
        <v>1</v>
      </c>
      <c r="V9">
        <f t="shared" ca="1" si="4"/>
        <v>1</v>
      </c>
      <c r="W9">
        <f t="shared" ca="1" si="4"/>
        <v>1</v>
      </c>
      <c r="X9">
        <f t="shared" ca="1" si="4"/>
        <v>1</v>
      </c>
      <c r="Y9">
        <f t="shared" ca="1" si="4"/>
        <v>1</v>
      </c>
      <c r="Z9">
        <f t="shared" ca="1" si="4"/>
        <v>1</v>
      </c>
      <c r="AA9">
        <f t="shared" ca="1" si="4"/>
        <v>1</v>
      </c>
      <c r="AB9">
        <f t="shared" ca="1" si="4"/>
        <v>1</v>
      </c>
      <c r="AC9">
        <f t="shared" ca="1" si="4"/>
        <v>1</v>
      </c>
      <c r="AD9">
        <f t="shared" ca="1" si="4"/>
        <v>1</v>
      </c>
      <c r="AE9">
        <f t="shared" ca="1" si="4"/>
        <v>1</v>
      </c>
      <c r="AF9">
        <f t="shared" ca="1" si="4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4"/>
        <v>1</v>
      </c>
      <c r="AQ9">
        <f t="shared" ca="1" si="4"/>
        <v>1</v>
      </c>
      <c r="AR9">
        <f t="shared" ca="1" si="4"/>
        <v>1</v>
      </c>
      <c r="AS9">
        <f t="shared" ca="1" si="4"/>
        <v>1</v>
      </c>
      <c r="AT9">
        <f t="shared" ca="1" si="4"/>
        <v>1</v>
      </c>
      <c r="AU9">
        <f t="shared" ca="1" si="4"/>
        <v>1</v>
      </c>
      <c r="AV9">
        <f t="shared" ca="1" si="4"/>
        <v>1</v>
      </c>
      <c r="AW9">
        <f t="shared" ca="1" si="4"/>
        <v>1</v>
      </c>
      <c r="AX9">
        <f t="shared" ca="1" si="4"/>
        <v>1</v>
      </c>
      <c r="AY9">
        <v>99</v>
      </c>
    </row>
    <row r="10" spans="17:51" x14ac:dyDescent="0.25">
      <c r="Q10">
        <f t="shared" ca="1" si="1"/>
        <v>1</v>
      </c>
      <c r="R10">
        <f t="shared" ref="R10:AX10" ca="1" si="5">+Q10</f>
        <v>1</v>
      </c>
      <c r="S10">
        <f t="shared" ca="1" si="5"/>
        <v>1</v>
      </c>
      <c r="T10">
        <f t="shared" ca="1" si="5"/>
        <v>1</v>
      </c>
      <c r="U10">
        <f t="shared" ca="1" si="5"/>
        <v>1</v>
      </c>
      <c r="V10">
        <f t="shared" ca="1" si="5"/>
        <v>1</v>
      </c>
      <c r="W10">
        <f t="shared" ca="1" si="5"/>
        <v>1</v>
      </c>
      <c r="X10">
        <f t="shared" ca="1" si="5"/>
        <v>1</v>
      </c>
      <c r="Y10">
        <f t="shared" ca="1" si="5"/>
        <v>1</v>
      </c>
      <c r="Z10">
        <f t="shared" ca="1" si="5"/>
        <v>1</v>
      </c>
      <c r="AA10">
        <f t="shared" ca="1" si="5"/>
        <v>1</v>
      </c>
      <c r="AB10">
        <f t="shared" ca="1" si="5"/>
        <v>1</v>
      </c>
      <c r="AC10">
        <f t="shared" ca="1" si="5"/>
        <v>1</v>
      </c>
      <c r="AD10">
        <f t="shared" ca="1" si="5"/>
        <v>1</v>
      </c>
      <c r="AE10">
        <f t="shared" ca="1" si="5"/>
        <v>1</v>
      </c>
      <c r="AF10">
        <f t="shared" ca="1" si="5"/>
        <v>1</v>
      </c>
      <c r="AG10">
        <f t="shared" ca="1" si="5"/>
        <v>1</v>
      </c>
      <c r="AH10">
        <f t="shared" ca="1" si="5"/>
        <v>1</v>
      </c>
      <c r="AI10">
        <f t="shared" ca="1" si="5"/>
        <v>1</v>
      </c>
      <c r="AJ10">
        <f t="shared" ca="1" si="5"/>
        <v>1</v>
      </c>
      <c r="AK10">
        <f t="shared" ca="1" si="5"/>
        <v>1</v>
      </c>
      <c r="AL10">
        <f t="shared" ca="1" si="5"/>
        <v>1</v>
      </c>
      <c r="AM10">
        <f t="shared" ca="1" si="5"/>
        <v>1</v>
      </c>
      <c r="AN10">
        <f t="shared" ca="1" si="5"/>
        <v>1</v>
      </c>
      <c r="AO10">
        <f t="shared" ca="1" si="5"/>
        <v>1</v>
      </c>
      <c r="AP10">
        <f t="shared" ca="1" si="5"/>
        <v>1</v>
      </c>
      <c r="AQ10">
        <f t="shared" ca="1" si="5"/>
        <v>1</v>
      </c>
      <c r="AR10">
        <f t="shared" ca="1" si="5"/>
        <v>1</v>
      </c>
      <c r="AS10">
        <f t="shared" ca="1" si="5"/>
        <v>1</v>
      </c>
      <c r="AT10">
        <f t="shared" ca="1" si="5"/>
        <v>1</v>
      </c>
      <c r="AU10">
        <f t="shared" ca="1" si="5"/>
        <v>1</v>
      </c>
      <c r="AV10">
        <f t="shared" ca="1" si="5"/>
        <v>1</v>
      </c>
      <c r="AW10">
        <f t="shared" ca="1" si="5"/>
        <v>1</v>
      </c>
      <c r="AX10">
        <f t="shared" ca="1" si="5"/>
        <v>1</v>
      </c>
      <c r="AY10">
        <v>99</v>
      </c>
    </row>
    <row r="11" spans="17:51" x14ac:dyDescent="0.25">
      <c r="Q11">
        <f t="shared" ca="1" si="1"/>
        <v>1</v>
      </c>
      <c r="R11">
        <f t="shared" ref="R11:AX11" ca="1" si="6">+Q11</f>
        <v>1</v>
      </c>
      <c r="S11">
        <f t="shared" ca="1" si="6"/>
        <v>1</v>
      </c>
      <c r="T11">
        <f t="shared" ca="1" si="6"/>
        <v>1</v>
      </c>
      <c r="U11">
        <f t="shared" ca="1" si="6"/>
        <v>1</v>
      </c>
      <c r="V11">
        <f t="shared" ca="1" si="6"/>
        <v>1</v>
      </c>
      <c r="W11">
        <f t="shared" ca="1" si="6"/>
        <v>1</v>
      </c>
      <c r="X11">
        <f t="shared" ca="1" si="6"/>
        <v>1</v>
      </c>
      <c r="Y11">
        <f t="shared" ca="1" si="6"/>
        <v>1</v>
      </c>
      <c r="Z11">
        <f t="shared" ca="1" si="6"/>
        <v>1</v>
      </c>
      <c r="AA11">
        <f t="shared" ca="1" si="6"/>
        <v>1</v>
      </c>
      <c r="AB11">
        <f t="shared" ca="1" si="6"/>
        <v>1</v>
      </c>
      <c r="AC11">
        <f t="shared" ca="1" si="6"/>
        <v>1</v>
      </c>
      <c r="AD11">
        <f t="shared" ca="1" si="6"/>
        <v>1</v>
      </c>
      <c r="AE11">
        <f t="shared" ca="1" si="6"/>
        <v>1</v>
      </c>
      <c r="AF11">
        <f t="shared" ca="1" si="6"/>
        <v>1</v>
      </c>
      <c r="AG11">
        <f t="shared" ca="1" si="6"/>
        <v>1</v>
      </c>
      <c r="AH11">
        <f t="shared" ca="1" si="6"/>
        <v>1</v>
      </c>
      <c r="AI11">
        <f t="shared" ca="1" si="6"/>
        <v>1</v>
      </c>
      <c r="AJ11">
        <f t="shared" ca="1" si="6"/>
        <v>1</v>
      </c>
      <c r="AK11">
        <f t="shared" ca="1" si="6"/>
        <v>1</v>
      </c>
      <c r="AL11">
        <f t="shared" ca="1" si="6"/>
        <v>1</v>
      </c>
      <c r="AM11">
        <f t="shared" ca="1" si="6"/>
        <v>1</v>
      </c>
      <c r="AN11">
        <f t="shared" ca="1" si="6"/>
        <v>1</v>
      </c>
      <c r="AO11">
        <f t="shared" ca="1" si="6"/>
        <v>1</v>
      </c>
      <c r="AP11">
        <f t="shared" ca="1" si="6"/>
        <v>1</v>
      </c>
      <c r="AQ11">
        <f t="shared" ca="1" si="6"/>
        <v>1</v>
      </c>
      <c r="AR11">
        <f t="shared" ca="1" si="6"/>
        <v>1</v>
      </c>
      <c r="AS11">
        <f t="shared" ca="1" si="6"/>
        <v>1</v>
      </c>
      <c r="AT11">
        <f t="shared" ca="1" si="6"/>
        <v>1</v>
      </c>
      <c r="AU11">
        <f t="shared" ca="1" si="6"/>
        <v>1</v>
      </c>
      <c r="AV11">
        <f t="shared" ca="1" si="6"/>
        <v>1</v>
      </c>
      <c r="AW11">
        <f t="shared" ca="1" si="6"/>
        <v>1</v>
      </c>
      <c r="AX11">
        <f t="shared" ca="1" si="6"/>
        <v>1</v>
      </c>
      <c r="AY11">
        <v>99</v>
      </c>
    </row>
    <row r="12" spans="17:51" x14ac:dyDescent="0.25">
      <c r="Q12">
        <f t="shared" ca="1" si="1"/>
        <v>1</v>
      </c>
      <c r="R12">
        <f t="shared" ref="R12:AX12" ca="1" si="7">+Q12</f>
        <v>1</v>
      </c>
      <c r="S12">
        <f t="shared" ca="1" si="7"/>
        <v>1</v>
      </c>
      <c r="T12">
        <f t="shared" ca="1" si="7"/>
        <v>1</v>
      </c>
      <c r="U12">
        <f t="shared" ca="1" si="7"/>
        <v>1</v>
      </c>
      <c r="V12">
        <f t="shared" ca="1" si="7"/>
        <v>1</v>
      </c>
      <c r="W12">
        <f t="shared" ca="1" si="7"/>
        <v>1</v>
      </c>
      <c r="X12">
        <f t="shared" ca="1" si="7"/>
        <v>1</v>
      </c>
      <c r="Y12">
        <f t="shared" ca="1" si="7"/>
        <v>1</v>
      </c>
      <c r="Z12">
        <f t="shared" ca="1" si="7"/>
        <v>1</v>
      </c>
      <c r="AA12">
        <f t="shared" ca="1" si="7"/>
        <v>1</v>
      </c>
      <c r="AB12">
        <f t="shared" ca="1" si="7"/>
        <v>1</v>
      </c>
      <c r="AC12">
        <f t="shared" ca="1" si="7"/>
        <v>1</v>
      </c>
      <c r="AD12">
        <f t="shared" ca="1" si="7"/>
        <v>1</v>
      </c>
      <c r="AE12">
        <f t="shared" ca="1" si="7"/>
        <v>1</v>
      </c>
      <c r="AF12">
        <f t="shared" ca="1" si="7"/>
        <v>1</v>
      </c>
      <c r="AG12">
        <f t="shared" ca="1" si="7"/>
        <v>1</v>
      </c>
      <c r="AH12">
        <f t="shared" ca="1" si="7"/>
        <v>1</v>
      </c>
      <c r="AI12">
        <f t="shared" ca="1" si="7"/>
        <v>1</v>
      </c>
      <c r="AJ12">
        <f t="shared" ca="1" si="7"/>
        <v>1</v>
      </c>
      <c r="AK12">
        <f t="shared" ca="1" si="7"/>
        <v>1</v>
      </c>
      <c r="AL12">
        <f t="shared" ca="1" si="7"/>
        <v>1</v>
      </c>
      <c r="AM12">
        <f t="shared" ca="1" si="7"/>
        <v>1</v>
      </c>
      <c r="AN12">
        <f t="shared" ca="1" si="7"/>
        <v>1</v>
      </c>
      <c r="AO12">
        <f t="shared" ca="1" si="7"/>
        <v>1</v>
      </c>
      <c r="AP12">
        <f t="shared" ca="1" si="7"/>
        <v>1</v>
      </c>
      <c r="AQ12">
        <f t="shared" ca="1" si="7"/>
        <v>1</v>
      </c>
      <c r="AR12">
        <f t="shared" ca="1" si="7"/>
        <v>1</v>
      </c>
      <c r="AS12">
        <f t="shared" ca="1" si="7"/>
        <v>1</v>
      </c>
      <c r="AT12">
        <f t="shared" ca="1" si="7"/>
        <v>1</v>
      </c>
      <c r="AU12">
        <f t="shared" ca="1" si="7"/>
        <v>1</v>
      </c>
      <c r="AV12">
        <f t="shared" ca="1" si="7"/>
        <v>1</v>
      </c>
      <c r="AW12">
        <f t="shared" ca="1" si="7"/>
        <v>1</v>
      </c>
      <c r="AX12">
        <f t="shared" ca="1" si="7"/>
        <v>1</v>
      </c>
      <c r="AY12">
        <v>99</v>
      </c>
    </row>
    <row r="13" spans="17:51" x14ac:dyDescent="0.25">
      <c r="Q13">
        <f t="shared" ca="1" si="1"/>
        <v>1</v>
      </c>
      <c r="R13">
        <f t="shared" ref="R13:AX13" ca="1" si="8">+Q13</f>
        <v>1</v>
      </c>
      <c r="S13">
        <f t="shared" ca="1" si="8"/>
        <v>1</v>
      </c>
      <c r="T13">
        <f t="shared" ca="1" si="8"/>
        <v>1</v>
      </c>
      <c r="U13">
        <f t="shared" ca="1" si="8"/>
        <v>1</v>
      </c>
      <c r="V13">
        <f t="shared" ca="1" si="8"/>
        <v>1</v>
      </c>
      <c r="W13">
        <f t="shared" ca="1" si="8"/>
        <v>1</v>
      </c>
      <c r="X13">
        <f t="shared" ca="1" si="8"/>
        <v>1</v>
      </c>
      <c r="Y13">
        <f t="shared" ca="1" si="8"/>
        <v>1</v>
      </c>
      <c r="Z13">
        <f t="shared" ca="1" si="8"/>
        <v>1</v>
      </c>
      <c r="AA13">
        <f t="shared" ca="1" si="8"/>
        <v>1</v>
      </c>
      <c r="AB13">
        <f t="shared" ca="1" si="8"/>
        <v>1</v>
      </c>
      <c r="AC13">
        <f t="shared" ca="1" si="8"/>
        <v>1</v>
      </c>
      <c r="AD13">
        <f t="shared" ca="1" si="8"/>
        <v>1</v>
      </c>
      <c r="AE13">
        <f t="shared" ca="1" si="8"/>
        <v>1</v>
      </c>
      <c r="AF13">
        <f t="shared" ca="1" si="8"/>
        <v>1</v>
      </c>
      <c r="AG13">
        <f t="shared" ca="1" si="8"/>
        <v>1</v>
      </c>
      <c r="AH13">
        <f t="shared" ca="1" si="8"/>
        <v>1</v>
      </c>
      <c r="AI13">
        <f t="shared" ca="1" si="8"/>
        <v>1</v>
      </c>
      <c r="AJ13">
        <f t="shared" ca="1" si="8"/>
        <v>1</v>
      </c>
      <c r="AK13">
        <f t="shared" ca="1" si="8"/>
        <v>1</v>
      </c>
      <c r="AL13">
        <f t="shared" ca="1" si="8"/>
        <v>1</v>
      </c>
      <c r="AM13">
        <f t="shared" ca="1" si="8"/>
        <v>1</v>
      </c>
      <c r="AN13">
        <f t="shared" ca="1" si="8"/>
        <v>1</v>
      </c>
      <c r="AO13">
        <f t="shared" ca="1" si="8"/>
        <v>1</v>
      </c>
      <c r="AP13">
        <f t="shared" ca="1" si="8"/>
        <v>1</v>
      </c>
      <c r="AQ13">
        <f t="shared" ca="1" si="8"/>
        <v>1</v>
      </c>
      <c r="AR13">
        <f t="shared" ca="1" si="8"/>
        <v>1</v>
      </c>
      <c r="AS13">
        <f t="shared" ca="1" si="8"/>
        <v>1</v>
      </c>
      <c r="AT13">
        <f t="shared" ca="1" si="8"/>
        <v>1</v>
      </c>
      <c r="AU13">
        <f t="shared" ca="1" si="8"/>
        <v>1</v>
      </c>
      <c r="AV13">
        <f t="shared" ca="1" si="8"/>
        <v>1</v>
      </c>
      <c r="AW13">
        <f t="shared" ca="1" si="8"/>
        <v>1</v>
      </c>
      <c r="AX13">
        <f t="shared" ca="1" si="8"/>
        <v>1</v>
      </c>
      <c r="AY13">
        <v>99</v>
      </c>
    </row>
    <row r="16" spans="17:51" x14ac:dyDescent="0.25">
      <c r="Q16" s="1">
        <v>1</v>
      </c>
      <c r="R16" s="1">
        <f t="shared" ref="R16:AW16" ca="1" si="9">+(Q16+S16+R17)/3</f>
        <v>3.2135464385787755</v>
      </c>
      <c r="S16" s="1">
        <f t="shared" ca="1" si="9"/>
        <v>5.3887622556589569</v>
      </c>
      <c r="T16" s="1">
        <f t="shared" ca="1" si="9"/>
        <v>7.5028788535086832</v>
      </c>
      <c r="U16" s="1">
        <f t="shared" ca="1" si="9"/>
        <v>9.535997612559024</v>
      </c>
      <c r="V16" s="1">
        <f t="shared" ca="1" si="9"/>
        <v>11.471817864760595</v>
      </c>
      <c r="W16" s="1">
        <f t="shared" ca="1" si="9"/>
        <v>13.2982407708688</v>
      </c>
      <c r="X16" s="1">
        <f t="shared" ca="1" si="9"/>
        <v>15.007854641881252</v>
      </c>
      <c r="Y16" s="1">
        <f t="shared" ca="1" si="9"/>
        <v>16.598315464626268</v>
      </c>
      <c r="Z16" s="1">
        <f t="shared" ca="1" si="9"/>
        <v>18.072639920447973</v>
      </c>
      <c r="AA16" s="1">
        <f t="shared" ca="1" si="9"/>
        <v>19.439426220829834</v>
      </c>
      <c r="AB16" s="1">
        <f t="shared" ca="1" si="9"/>
        <v>20.713010623824349</v>
      </c>
      <c r="AC16" s="1">
        <f t="shared" ca="1" si="9"/>
        <v>21.913555437288647</v>
      </c>
      <c r="AD16" s="1">
        <f t="shared" ca="1" si="9"/>
        <v>23.067049438728606</v>
      </c>
      <c r="AE16" s="1">
        <f t="shared" ca="1" si="9"/>
        <v>24.205186460818386</v>
      </c>
      <c r="AF16" s="1">
        <f t="shared" ca="1" si="9"/>
        <v>25.365075367156848</v>
      </c>
      <c r="AG16" s="1">
        <f t="shared" ca="1" si="9"/>
        <v>26.588727774731296</v>
      </c>
      <c r="AH16" s="1">
        <f t="shared" ca="1" si="9"/>
        <v>27.922271225862072</v>
      </c>
      <c r="AI16" s="1">
        <f t="shared" ca="1" si="9"/>
        <v>29.414846704236282</v>
      </c>
      <c r="AJ16" s="1">
        <f t="shared" ca="1" si="9"/>
        <v>31.117170729496262</v>
      </c>
      <c r="AK16" s="1">
        <f t="shared" ca="1" si="9"/>
        <v>33.079772492450815</v>
      </c>
      <c r="AL16" s="1">
        <f t="shared" ca="1" si="9"/>
        <v>35.350952784167674</v>
      </c>
      <c r="AM16" s="1">
        <f t="shared" ca="1" si="9"/>
        <v>37.974549699787161</v>
      </c>
      <c r="AN16" s="1">
        <f t="shared" ca="1" si="9"/>
        <v>40.987631336316419</v>
      </c>
      <c r="AO16" s="1">
        <f t="shared" ca="1" si="9"/>
        <v>44.418262911103255</v>
      </c>
      <c r="AP16" s="1">
        <f t="shared" ca="1" si="9"/>
        <v>48.28351050027171</v>
      </c>
      <c r="AQ16" s="1">
        <f t="shared" ca="1" si="9"/>
        <v>52.587842868847908</v>
      </c>
      <c r="AR16" s="1">
        <f t="shared" ca="1" si="9"/>
        <v>57.322075434971076</v>
      </c>
      <c r="AS16" s="1">
        <f t="shared" ca="1" si="9"/>
        <v>62.46296719635739</v>
      </c>
      <c r="AT16" s="1">
        <f t="shared" ca="1" si="9"/>
        <v>67.973535420077766</v>
      </c>
      <c r="AU16" s="1">
        <f t="shared" ca="1" si="9"/>
        <v>73.804098709727967</v>
      </c>
      <c r="AV16" s="1">
        <f t="shared" ca="1" si="9"/>
        <v>79.894002427820411</v>
      </c>
      <c r="AW16" s="1">
        <f t="shared" ca="1" si="9"/>
        <v>86.173927364190433</v>
      </c>
      <c r="AX16" s="1">
        <f ca="1">+(AW16+AY16+AX17)/3</f>
        <v>92.568638497923004</v>
      </c>
      <c r="AY16" s="1">
        <v>99</v>
      </c>
    </row>
    <row r="17" spans="17:51" x14ac:dyDescent="0.25">
      <c r="Q17" s="1">
        <v>1</v>
      </c>
      <c r="R17" s="1">
        <f ca="1">+(Q17+S17+R16+R18)/4</f>
        <v>3.2120846203954709</v>
      </c>
      <c r="S17" s="1">
        <f t="shared" ref="S17:AX17" ca="1" si="10">+(R17+T17+S16+S18)/4</f>
        <v>5.3859183302181179</v>
      </c>
      <c r="T17" s="1">
        <f t="shared" ca="1" si="10"/>
        <v>7.4987941450590636</v>
      </c>
      <c r="U17" s="1">
        <f t="shared" ca="1" si="10"/>
        <v>9.5308675483296561</v>
      </c>
      <c r="V17" s="1">
        <f t="shared" ca="1" si="10"/>
        <v>11.465883581913747</v>
      </c>
      <c r="W17" s="1">
        <f t="shared" ca="1" si="10"/>
        <v>13.291780710926819</v>
      </c>
      <c r="X17" s="1">
        <f t="shared" ca="1" si="10"/>
        <v>15.001176846786324</v>
      </c>
      <c r="Y17" s="1">
        <f t="shared" ca="1" si="10"/>
        <v>16.591751015941085</v>
      </c>
      <c r="Z17" s="1">
        <f t="shared" ca="1" si="10"/>
        <v>18.066537608314228</v>
      </c>
      <c r="AA17" s="1">
        <f t="shared" ca="1" si="10"/>
        <v>19.434148140844297</v>
      </c>
      <c r="AB17" s="1">
        <f t="shared" ca="1" si="10"/>
        <v>20.708928036814314</v>
      </c>
      <c r="AC17" s="1">
        <f t="shared" ca="1" si="10"/>
        <v>21.911043951743352</v>
      </c>
      <c r="AD17" s="1">
        <f t="shared" ca="1" si="10"/>
        <v>23.066482446505635</v>
      </c>
      <c r="AE17" s="1">
        <f t="shared" ca="1" si="10"/>
        <v>24.206925817685828</v>
      </c>
      <c r="AF17" s="1">
        <f t="shared" ca="1" si="10"/>
        <v>25.369458581174751</v>
      </c>
      <c r="AG17" s="1">
        <f t="shared" ca="1" si="10"/>
        <v>26.596051436876937</v>
      </c>
      <c r="AH17" s="1">
        <f t="shared" ca="1" si="10"/>
        <v>27.932771043751416</v>
      </c>
      <c r="AI17" s="1">
        <f t="shared" ca="1" si="10"/>
        <v>29.428675204128965</v>
      </c>
      <c r="AJ17" s="1">
        <f t="shared" ca="1" si="10"/>
        <v>31.134374372891653</v>
      </c>
      <c r="AK17" s="1">
        <f t="shared" ca="1" si="10"/>
        <v>33.100270500332982</v>
      </c>
      <c r="AL17" s="1">
        <f t="shared" ca="1" si="10"/>
        <v>35.374520270705958</v>
      </c>
      <c r="AM17" s="1">
        <f t="shared" ca="1" si="10"/>
        <v>38.000807710234625</v>
      </c>
      <c r="AN17" s="1">
        <f t="shared" ca="1" si="10"/>
        <v>41.016046024529992</v>
      </c>
      <c r="AO17" s="1">
        <f t="shared" ca="1" si="10"/>
        <v>44.448155395045362</v>
      </c>
      <c r="AP17" s="1">
        <f t="shared" ca="1" si="10"/>
        <v>48.314077965836553</v>
      </c>
      <c r="AQ17" s="1">
        <f t="shared" ca="1" si="10"/>
        <v>52.61819036482953</v>
      </c>
      <c r="AR17" s="1">
        <f t="shared" ca="1" si="10"/>
        <v>57.351256655454613</v>
      </c>
      <c r="AS17" s="1">
        <f t="shared" ca="1" si="10"/>
        <v>62.490031529881037</v>
      </c>
      <c r="AT17" s="1">
        <f t="shared" ca="1" si="10"/>
        <v>67.997577791680101</v>
      </c>
      <c r="AU17" s="1">
        <f t="shared" ca="1" si="10"/>
        <v>73.824308351735482</v>
      </c>
      <c r="AV17" s="1">
        <f t="shared" ca="1" si="10"/>
        <v>79.909706737882459</v>
      </c>
      <c r="AW17" s="1">
        <f t="shared" ca="1" si="10"/>
        <v>86.184627438874941</v>
      </c>
      <c r="AX17" s="1">
        <f t="shared" ca="1" si="10"/>
        <v>92.574033708235334</v>
      </c>
      <c r="AY17" s="1">
        <v>99</v>
      </c>
    </row>
    <row r="18" spans="17:51" x14ac:dyDescent="0.25">
      <c r="Q18" s="1">
        <v>1</v>
      </c>
      <c r="R18" s="1">
        <f t="shared" ref="R18:R22" ca="1" si="11">+(Q18+S18+R17+R19)/4</f>
        <v>3.2091357693689071</v>
      </c>
      <c r="S18" s="1">
        <f t="shared" ref="S18:S22" ca="1" si="12">+(R18+T18+S17+S19)/4</f>
        <v>5.3801834691620396</v>
      </c>
      <c r="T18" s="1">
        <f t="shared" ref="T18:T22" ca="1" si="13">+(S18+U18+T17+T19)/4</f>
        <v>7.4905578600724274</v>
      </c>
      <c r="U18" s="1">
        <f t="shared" ref="U18:U22" ca="1" si="14">+(T18+V18+U17+U19)/4</f>
        <v>9.5205216189538433</v>
      </c>
      <c r="V18" s="1">
        <f t="shared" ref="V18:V22" ca="1" si="15">+(U18+W18+V17+V19)/4</f>
        <v>11.453910697771541</v>
      </c>
      <c r="W18" s="1">
        <f t="shared" ref="W18:W22" ca="1" si="16">+(V18+X18+W17+W19)/4</f>
        <v>13.278738118761302</v>
      </c>
      <c r="X18" s="1">
        <f t="shared" ref="X18:X22" ca="1" si="17">+(W18+Y18+X17+X19)/4</f>
        <v>14.987681282947753</v>
      </c>
      <c r="Y18" s="1">
        <f t="shared" ref="Y18:Y22" ca="1" si="18">+(X18+Z18+Y17+Y19)/4</f>
        <v>16.578465748789231</v>
      </c>
      <c r="Z18" s="1">
        <f t="shared" ref="Z18:Z22" ca="1" si="19">+(Y18+AA18+Z17+Z19)/4</f>
        <v>18.054161728993499</v>
      </c>
      <c r="AA18" s="1">
        <f t="shared" ref="AA18:AA22" ca="1" si="20">+(Z18+AB18+AA17+AA19)/4</f>
        <v>19.423407495013308</v>
      </c>
      <c r="AB18" s="1">
        <f t="shared" ref="AB18:AB22" ca="1" si="21">+(AA18+AC18+AB17+AB19)/4</f>
        <v>20.700566498807607</v>
      </c>
      <c r="AC18" s="1">
        <f t="shared" ref="AC18:AC22" ca="1" si="22">+(AB18+AD18+AC17+AC19)/4</f>
        <v>21.90581322734387</v>
      </c>
      <c r="AD18" s="1">
        <f t="shared" ref="AD18:AD22" ca="1" si="23">+(AC18+AE18+AD17+AD19)/4</f>
        <v>23.065128362005591</v>
      </c>
      <c r="AE18" s="1">
        <f t="shared" ref="AE18:AE22" ca="1" si="24">+(AD18+AF18+AE17+AE19)/4</f>
        <v>24.21016919361454</v>
      </c>
      <c r="AF18" s="1">
        <f t="shared" ref="AF18:AF22" ca="1" si="25">+(AE18+AG18+AF17+AF19)/4</f>
        <v>25.377969334892931</v>
      </c>
      <c r="AG18" s="1">
        <f t="shared" ref="AG18:AG22" ca="1" si="26">+(AF18+AH18+AG17+AG19)/4</f>
        <v>26.610415484946085</v>
      </c>
      <c r="AH18" s="1">
        <f t="shared" ref="AH18:AH22" ca="1" si="27">+(AG18+AI18+AH17+AH19)/4</f>
        <v>27.953450792403352</v>
      </c>
      <c r="AI18" s="1">
        <f t="shared" ref="AI18:AI22" ca="1" si="28">+(AH18+AJ18+AI17+AI19)/4</f>
        <v>29.455965773035615</v>
      </c>
      <c r="AJ18" s="1">
        <f t="shared" ref="AJ18:AJ22" ca="1" si="29">+(AI18+AK18+AJ17+AJ19)/4</f>
        <v>31.168358998062551</v>
      </c>
      <c r="AK18" s="1">
        <f t="shared" ref="AK18:AK22" ca="1" si="30">+(AJ18+AL18+AK17+AK19)/4</f>
        <v>33.140779593229425</v>
      </c>
      <c r="AL18" s="1">
        <f t="shared" ref="AL18:AL22" ca="1" si="31">+(AK18+AM18+AL17+AL19)/4</f>
        <v>35.421099175747152</v>
      </c>
      <c r="AM18" s="1">
        <f t="shared" ref="AM18:AM22" ca="1" si="32">+(AL18+AN18+AM17+AM19)/4</f>
        <v>38.052698155999998</v>
      </c>
      <c r="AN18" s="1">
        <f t="shared" ref="AN18:AN22" ca="1" si="33">+(AM18+AO18+AN17+AN19)/4</f>
        <v>41.072185539532128</v>
      </c>
      <c r="AO18" s="1">
        <f t="shared" ref="AO18:AO22" ca="1" si="34">+(AN18+AP18+AO17+AO19)/4</f>
        <v>44.507197589099661</v>
      </c>
      <c r="AP18" s="1">
        <f t="shared" ref="AP18:AP22" ca="1" si="35">+(AO18+AQ18+AP17+AP19)/4</f>
        <v>48.374434694478424</v>
      </c>
      <c r="AQ18" s="1">
        <f t="shared" ref="AQ18:AQ22" ca="1" si="36">+(AP18+AR18+AQ17+AQ19)/4</f>
        <v>52.678094612993732</v>
      </c>
      <c r="AR18" s="1">
        <f t="shared" ref="AR18:AR22" ca="1" si="37">+(AQ18+AS18+AR17+AR19)/4</f>
        <v>57.408842768046583</v>
      </c>
      <c r="AS18" s="1">
        <f t="shared" ref="AS18:AS22" ca="1" si="38">+(AR18+AT18+AS17+AS19)/4</f>
        <v>62.543427465444402</v>
      </c>
      <c r="AT18" s="1">
        <f t="shared" ref="AT18:AT22" ca="1" si="39">+(AS18+AU18+AT17+AT19)/4</f>
        <v>68.045002636776559</v>
      </c>
      <c r="AU18" s="1">
        <f t="shared" ref="AU18:AU22" ca="1" si="40">+(AT18+AV18+AU17+AU19)/4</f>
        <v>73.864167596308917</v>
      </c>
      <c r="AV18" s="1">
        <f t="shared" ref="AV18:AV22" ca="1" si="41">+(AU18+AW18+AV17+AV19)/4</f>
        <v>79.940677869590516</v>
      </c>
      <c r="AW18" s="1">
        <f t="shared" ref="AW18:AW22" ca="1" si="42">+(AV18+AX18+AW17+AW19)/4</f>
        <v>86.205729254530056</v>
      </c>
      <c r="AX18" s="1">
        <f t="shared" ref="AX18:AX22" ca="1" si="43">+(AW18+AY18+AX17+AX19)/4</f>
        <v>92.584674249136668</v>
      </c>
      <c r="AY18" s="1">
        <v>99</v>
      </c>
    </row>
    <row r="19" spans="17:51" x14ac:dyDescent="0.25">
      <c r="Q19" s="1">
        <v>1</v>
      </c>
      <c r="R19" s="1">
        <f t="shared" ca="1" si="11"/>
        <v>3.2046515277319139</v>
      </c>
      <c r="S19" s="1">
        <f t="shared" ca="1" si="12"/>
        <v>5.3714666900213617</v>
      </c>
      <c r="T19" s="1">
        <f t="shared" ca="1" si="13"/>
        <v>7.4780404878088476</v>
      </c>
      <c r="U19" s="1">
        <f t="shared" ca="1" si="14"/>
        <v>9.5047947274099407</v>
      </c>
      <c r="V19" s="1">
        <f t="shared" ca="1" si="15"/>
        <v>11.435700833306539</v>
      </c>
      <c r="W19" s="1">
        <f t="shared" ca="1" si="16"/>
        <v>13.258883469245728</v>
      </c>
      <c r="X19" s="1">
        <f t="shared" ca="1" si="17"/>
        <v>14.967109592362981</v>
      </c>
      <c r="Y19" s="1">
        <f t="shared" ca="1" si="18"/>
        <v>16.558175124616231</v>
      </c>
      <c r="Z19" s="1">
        <f t="shared" ca="1" si="19"/>
        <v>18.035204498003164</v>
      </c>
      <c r="AA19" s="1">
        <f t="shared" ca="1" si="20"/>
        <v>19.406876192800457</v>
      </c>
      <c r="AB19" s="1">
        <f t="shared" ca="1" si="21"/>
        <v>20.687580096461634</v>
      </c>
      <c r="AC19" s="1">
        <f t="shared" ca="1" si="22"/>
        <v>21.897500979722381</v>
      </c>
      <c r="AD19" s="1">
        <f t="shared" ca="1" si="23"/>
        <v>23.062608364432787</v>
      </c>
      <c r="AE19" s="1">
        <f t="shared" ca="1" si="24"/>
        <v>24.214518972505811</v>
      </c>
      <c r="AF19" s="1">
        <f t="shared" ca="1" si="25"/>
        <v>25.390186619297864</v>
      </c>
      <c r="AG19" s="1">
        <f t="shared" ca="1" si="26"/>
        <v>26.631368669424123</v>
      </c>
      <c r="AH19" s="1">
        <f t="shared" ca="1" si="27"/>
        <v>27.98382037156108</v>
      </c>
      <c r="AI19" s="1">
        <f t="shared" ca="1" si="28"/>
        <v>29.49617998266989</v>
      </c>
      <c r="AJ19" s="1">
        <f t="shared" ca="1" si="29"/>
        <v>31.218528753861911</v>
      </c>
      <c r="AK19" s="1">
        <f t="shared" ca="1" si="30"/>
        <v>33.200639269928018</v>
      </c>
      <c r="AL19" s="1">
        <f t="shared" ca="1" si="31"/>
        <v>35.489960538255829</v>
      </c>
      <c r="AM19" s="1">
        <f t="shared" ca="1" si="32"/>
        <v>38.129424635537589</v>
      </c>
      <c r="AN19" s="1">
        <f t="shared" ca="1" si="33"/>
        <v>41.15519295455389</v>
      </c>
      <c r="AO19" s="1">
        <f t="shared" ca="1" si="34"/>
        <v>44.594485395479531</v>
      </c>
      <c r="AP19" s="1">
        <f t="shared" ca="1" si="35"/>
        <v>48.463649106241775</v>
      </c>
      <c r="AQ19" s="1">
        <f t="shared" ca="1" si="36"/>
        <v>52.766621777332745</v>
      </c>
      <c r="AR19" s="1">
        <f t="shared" ca="1" si="37"/>
        <v>57.493926995394901</v>
      </c>
      <c r="AS19" s="1">
        <f t="shared" ca="1" si="38"/>
        <v>62.622306714368513</v>
      </c>
      <c r="AT19" s="1">
        <f t="shared" ca="1" si="39"/>
        <v>68.115051398861624</v>
      </c>
      <c r="AU19" s="1">
        <f t="shared" ca="1" si="40"/>
        <v>73.923036285356304</v>
      </c>
      <c r="AV19" s="1">
        <f t="shared" ca="1" si="41"/>
        <v>79.986417923932436</v>
      </c>
      <c r="AW19" s="1">
        <f t="shared" ca="1" si="42"/>
        <v>86.236894390674252</v>
      </c>
      <c r="AX19" s="1">
        <f t="shared" ca="1" si="43"/>
        <v>92.600390494310091</v>
      </c>
      <c r="AY19" s="1">
        <v>99</v>
      </c>
    </row>
    <row r="20" spans="17:51" x14ac:dyDescent="0.25">
      <c r="Q20" s="1">
        <v>1</v>
      </c>
      <c r="R20" s="1">
        <f t="shared" ca="1" si="11"/>
        <v>3.1985780439632516</v>
      </c>
      <c r="S20" s="1">
        <f t="shared" ca="1" si="12"/>
        <v>5.359666725268494</v>
      </c>
      <c r="T20" s="1">
        <f t="shared" ca="1" si="13"/>
        <v>7.4610980563223794</v>
      </c>
      <c r="U20" s="1">
        <f t="shared" ca="1" si="14"/>
        <v>9.4835036793944418</v>
      </c>
      <c r="V20" s="1">
        <f t="shared" ca="1" si="15"/>
        <v>11.411034351760701</v>
      </c>
      <c r="W20" s="1">
        <f t="shared" ca="1" si="16"/>
        <v>13.23196323620882</v>
      </c>
      <c r="X20" s="1">
        <f t="shared" ca="1" si="17"/>
        <v>14.939177030356177</v>
      </c>
      <c r="Y20" s="1">
        <f t="shared" ca="1" si="18"/>
        <v>16.530566122165808</v>
      </c>
      <c r="Z20" s="1">
        <f t="shared" ca="1" si="19"/>
        <v>18.009327758363117</v>
      </c>
      <c r="AA20" s="1">
        <f t="shared" ca="1" si="20"/>
        <v>19.384193985213759</v>
      </c>
      <c r="AB20" s="1">
        <f t="shared" ca="1" si="21"/>
        <v>20.669588955146946</v>
      </c>
      <c r="AC20" s="1">
        <f t="shared" ca="1" si="22"/>
        <v>21.885709010578758</v>
      </c>
      <c r="AD20" s="1">
        <f t="shared" ca="1" si="23"/>
        <v>23.058505482888343</v>
      </c>
      <c r="AE20" s="1">
        <f t="shared" ca="1" si="24"/>
        <v>24.219536749800557</v>
      </c>
      <c r="AF20" s="1">
        <f t="shared" ca="1" si="25"/>
        <v>25.405645510991928</v>
      </c>
      <c r="AG20" s="1">
        <f t="shared" ca="1" si="26"/>
        <v>26.658412178847126</v>
      </c>
      <c r="AH20" s="1">
        <f t="shared" ca="1" si="27"/>
        <v>28.023337981994619</v>
      </c>
      <c r="AI20" s="1">
        <f t="shared" ca="1" si="28"/>
        <v>29.548723186972712</v>
      </c>
      <c r="AJ20" s="1">
        <f t="shared" ca="1" si="29"/>
        <v>31.284226855547864</v>
      </c>
      <c r="AK20" s="1">
        <f t="shared" ca="1" si="30"/>
        <v>33.279123437548165</v>
      </c>
      <c r="AL20" s="1">
        <f t="shared" ca="1" si="31"/>
        <v>35.580305514531673</v>
      </c>
      <c r="AM20" s="1">
        <f t="shared" ca="1" si="32"/>
        <v>38.230117282076939</v>
      </c>
      <c r="AN20" s="1">
        <f t="shared" ca="1" si="33"/>
        <v>41.264135349518511</v>
      </c>
      <c r="AO20" s="1">
        <f t="shared" ca="1" si="34"/>
        <v>44.70903757084271</v>
      </c>
      <c r="AP20" s="1">
        <f t="shared" ca="1" si="35"/>
        <v>48.58071296747972</v>
      </c>
      <c r="AQ20" s="1">
        <f t="shared" ca="1" si="36"/>
        <v>52.882763694655424</v>
      </c>
      <c r="AR20" s="1">
        <f t="shared" ca="1" si="37"/>
        <v>57.605532488236385</v>
      </c>
      <c r="AS20" s="1">
        <f t="shared" ca="1" si="38"/>
        <v>62.725757086708988</v>
      </c>
      <c r="AT20" s="1">
        <f t="shared" ca="1" si="39"/>
        <v>68.206909582520908</v>
      </c>
      <c r="AU20" s="1">
        <f t="shared" ca="1" si="40"/>
        <v>74.000227847597088</v>
      </c>
      <c r="AV20" s="1">
        <f t="shared" ca="1" si="41"/>
        <v>80.046393358009183</v>
      </c>
      <c r="AW20" s="1">
        <f t="shared" ca="1" si="42"/>
        <v>86.277760404257634</v>
      </c>
      <c r="AX20" s="1">
        <f t="shared" ca="1" si="43"/>
        <v>92.621000829239165</v>
      </c>
      <c r="AY20" s="1">
        <v>99</v>
      </c>
    </row>
    <row r="21" spans="17:51" x14ac:dyDescent="0.25">
      <c r="Q21" s="1">
        <v>1</v>
      </c>
      <c r="R21" s="1">
        <f t="shared" ca="1" si="11"/>
        <v>3.1908735770460024</v>
      </c>
      <c r="S21" s="1">
        <f t="shared" ca="1" si="12"/>
        <v>5.3447056249391451</v>
      </c>
      <c r="T21" s="1">
        <f t="shared" ca="1" si="13"/>
        <v>7.439620194662143</v>
      </c>
      <c r="U21" s="1">
        <f t="shared" ca="1" si="14"/>
        <v>9.4565082316452482</v>
      </c>
      <c r="V21" s="1">
        <f t="shared" ca="1" si="15"/>
        <v>11.379742980916712</v>
      </c>
      <c r="W21" s="1">
        <f t="shared" ca="1" si="16"/>
        <v>13.197782732118267</v>
      </c>
      <c r="X21" s="1">
        <f t="shared" ca="1" si="17"/>
        <v>14.903664215382289</v>
      </c>
      <c r="Y21" s="1">
        <f t="shared" ca="1" si="18"/>
        <v>16.495396633164013</v>
      </c>
      <c r="Z21" s="1">
        <f t="shared" ca="1" si="19"/>
        <v>17.976268795908055</v>
      </c>
      <c r="AA21" s="1">
        <f t="shared" ca="1" si="20"/>
        <v>19.355079508302342</v>
      </c>
      <c r="AB21" s="1">
        <f t="shared" ca="1" si="21"/>
        <v>20.646294353145414</v>
      </c>
      <c r="AC21" s="1">
        <f t="shared" ca="1" si="22"/>
        <v>21.870121270587759</v>
      </c>
      <c r="AD21" s="1">
        <f t="shared" ca="1" si="23"/>
        <v>23.052484524997219</v>
      </c>
      <c r="AE21" s="1">
        <f t="shared" ca="1" si="24"/>
        <v>24.224864087548866</v>
      </c>
      <c r="AF21" s="1">
        <f t="shared" ca="1" si="25"/>
        <v>25.423957762996</v>
      </c>
      <c r="AG21" s="1">
        <f t="shared" ca="1" si="26"/>
        <v>26.691119128088879</v>
      </c>
      <c r="AH21" s="1">
        <f t="shared" ca="1" si="27"/>
        <v>28.071527627476485</v>
      </c>
      <c r="AI21" s="1">
        <f t="shared" ca="1" si="28"/>
        <v>29.613059207981433</v>
      </c>
      <c r="AJ21" s="1">
        <f t="shared" ca="1" si="29"/>
        <v>31.364846675872169</v>
      </c>
      <c r="AK21" s="1">
        <f t="shared" ca="1" si="30"/>
        <v>33.375547175623474</v>
      </c>
      <c r="AL21" s="1">
        <f t="shared" ca="1" si="31"/>
        <v>35.691367124241388</v>
      </c>
      <c r="AM21" s="1">
        <f t="shared" ca="1" si="32"/>
        <v>38.353928837440769</v>
      </c>
      <c r="AN21" s="1">
        <f t="shared" ca="1" si="33"/>
        <v>41.398093593701411</v>
      </c>
      <c r="AO21" s="1">
        <f t="shared" ca="1" si="34"/>
        <v>44.849878636479758</v>
      </c>
      <c r="AP21" s="1">
        <f t="shared" ca="1" si="35"/>
        <v>48.72461689227903</v>
      </c>
      <c r="AQ21" s="1">
        <f t="shared" ca="1" si="36"/>
        <v>53.025505488491433</v>
      </c>
      <c r="AR21" s="1">
        <f t="shared" ca="1" si="37"/>
        <v>57.742671647466757</v>
      </c>
      <c r="AS21" s="1">
        <f t="shared" ca="1" si="38"/>
        <v>62.852853211368554</v>
      </c>
      <c r="AT21" s="1">
        <f t="shared" ca="1" si="39"/>
        <v>68.319748676034834</v>
      </c>
      <c r="AU21" s="1">
        <f t="shared" ca="1" si="40"/>
        <v>74.095042361143669</v>
      </c>
      <c r="AV21" s="1">
        <f t="shared" ca="1" si="41"/>
        <v>80.120059272127776</v>
      </c>
      <c r="AW21" s="1">
        <f t="shared" ca="1" si="42"/>
        <v>86.327956580239288</v>
      </c>
      <c r="AX21" s="1">
        <f t="shared" ca="1" si="43"/>
        <v>92.64631925797562</v>
      </c>
      <c r="AY21" s="1">
        <v>99</v>
      </c>
    </row>
    <row r="22" spans="17:51" x14ac:dyDescent="0.25">
      <c r="Q22" s="1">
        <v>1</v>
      </c>
      <c r="R22" s="1">
        <f t="shared" ca="1" si="11"/>
        <v>3.1815230847459248</v>
      </c>
      <c r="S22" s="1">
        <f t="shared" ca="1" si="12"/>
        <v>5.326556605232188</v>
      </c>
      <c r="T22" s="1">
        <f t="shared" ca="1" si="13"/>
        <v>7.4135699707540734</v>
      </c>
      <c r="U22" s="1">
        <f t="shared" ca="1" si="14"/>
        <v>9.4237617016488429</v>
      </c>
      <c r="V22" s="1">
        <f t="shared" ca="1" si="15"/>
        <v>11.341770025585083</v>
      </c>
      <c r="W22" s="1">
        <f t="shared" ca="1" si="16"/>
        <v>13.15627479651474</v>
      </c>
      <c r="X22" s="1">
        <f t="shared" ca="1" si="17"/>
        <v>14.860493202508867</v>
      </c>
      <c r="Y22" s="1">
        <f t="shared" ca="1" si="18"/>
        <v>16.452577860494216</v>
      </c>
      <c r="Z22" s="1">
        <f t="shared" ca="1" si="19"/>
        <v>17.935928028705707</v>
      </c>
      <c r="AA22" s="1">
        <f t="shared" ca="1" si="20"/>
        <v>19.319422255993885</v>
      </c>
      <c r="AB22" s="1">
        <f t="shared" ca="1" si="21"/>
        <v>20.617573997035066</v>
      </c>
      <c r="AC22" s="1">
        <f t="shared" ca="1" si="22"/>
        <v>21.850601487148115</v>
      </c>
      <c r="AD22" s="1">
        <f t="shared" ca="1" si="23"/>
        <v>23.04439114303743</v>
      </c>
      <c r="AE22" s="1">
        <f t="shared" ca="1" si="24"/>
        <v>24.230322147421013</v>
      </c>
      <c r="AF22" s="1">
        <f t="shared" ca="1" si="25"/>
        <v>25.444911181491253</v>
      </c>
      <c r="AG22" s="1">
        <f t="shared" ca="1" si="26"/>
        <v>26.729232908275637</v>
      </c>
      <c r="AH22" s="1">
        <f t="shared" ca="1" si="27"/>
        <v>28.128075721591109</v>
      </c>
      <c r="AI22" s="1">
        <f t="shared" ca="1" si="28"/>
        <v>29.688804536175205</v>
      </c>
      <c r="AJ22" s="1">
        <f t="shared" ca="1" si="29"/>
        <v>31.459922924226223</v>
      </c>
      <c r="AK22" s="1">
        <f t="shared" ca="1" si="30"/>
        <v>33.489354321450179</v>
      </c>
      <c r="AL22" s="1">
        <f t="shared" ca="1" si="31"/>
        <v>35.82249370412751</v>
      </c>
      <c r="AM22" s="1">
        <f t="shared" ca="1" si="32"/>
        <v>38.500113464404016</v>
      </c>
      <c r="AN22" s="1">
        <f t="shared" ca="1" si="33"/>
        <v>41.556236031020944</v>
      </c>
      <c r="AO22" s="1">
        <f t="shared" ca="1" si="34"/>
        <v>45.016106974645162</v>
      </c>
      <c r="AP22" s="1">
        <f t="shared" ca="1" si="35"/>
        <v>48.894412416545158</v>
      </c>
      <c r="AQ22" s="1">
        <f t="shared" ca="1" si="36"/>
        <v>53.193881226197639</v>
      </c>
      <c r="AR22" s="1">
        <f t="shared" ca="1" si="37"/>
        <v>57.904395022604717</v>
      </c>
      <c r="AS22" s="1">
        <f t="shared" ca="1" si="38"/>
        <v>63.002698405008807</v>
      </c>
      <c r="AT22" s="1">
        <f t="shared" ca="1" si="39"/>
        <v>68.452760809418237</v>
      </c>
      <c r="AU22" s="1">
        <f t="shared" ca="1" si="40"/>
        <v>74.2067939265647</v>
      </c>
      <c r="AV22" s="1">
        <f t="shared" ca="1" si="41"/>
        <v>80.20687954504055</v>
      </c>
      <c r="AW22" s="1">
        <f t="shared" ca="1" si="42"/>
        <v>86.38711700580879</v>
      </c>
      <c r="AX22" s="1">
        <f t="shared" ca="1" si="43"/>
        <v>92.676161724109051</v>
      </c>
      <c r="AY22" s="1">
        <v>99</v>
      </c>
    </row>
    <row r="23" spans="17:51" x14ac:dyDescent="0.25">
      <c r="Q23" s="1">
        <v>1</v>
      </c>
      <c r="R23" s="1">
        <f t="shared" ref="R23:AW23" ca="1" si="44">+(Q23+S23+R22)/3</f>
        <v>3.1705475877016531</v>
      </c>
      <c r="S23" s="1">
        <f t="shared" ca="1" si="44"/>
        <v>5.305261928476896</v>
      </c>
      <c r="T23" s="1">
        <f t="shared" ca="1" si="44"/>
        <v>7.3830094785935243</v>
      </c>
      <c r="U23" s="1">
        <f t="shared" ca="1" si="44"/>
        <v>9.3853434878098678</v>
      </c>
      <c r="V23" s="1">
        <f t="shared" ca="1" si="44"/>
        <v>11.297209074519344</v>
      </c>
      <c r="W23" s="1">
        <f t="shared" ca="1" si="44"/>
        <v>13.107543964825837</v>
      </c>
      <c r="X23" s="1">
        <f t="shared" ca="1" si="44"/>
        <v>14.809776404820118</v>
      </c>
      <c r="Y23" s="1">
        <f t="shared" ca="1" si="44"/>
        <v>16.402227294321381</v>
      </c>
      <c r="Z23" s="1">
        <f t="shared" ca="1" si="44"/>
        <v>17.888425349866893</v>
      </c>
      <c r="AA23" s="1">
        <f t="shared" ca="1" si="44"/>
        <v>19.277341612694357</v>
      </c>
      <c r="AB23" s="1">
        <f t="shared" ca="1" si="44"/>
        <v>20.583543082503606</v>
      </c>
      <c r="AC23" s="1">
        <f t="shared" ca="1" si="44"/>
        <v>21.827255613712889</v>
      </c>
      <c r="AD23" s="1">
        <f t="shared" ca="1" si="44"/>
        <v>23.034315061962985</v>
      </c>
      <c r="AE23" s="1">
        <f t="shared" ca="1" si="44"/>
        <v>24.235975125635964</v>
      </c>
      <c r="AF23" s="1">
        <f t="shared" ca="1" si="44"/>
        <v>25.468532740842345</v>
      </c>
      <c r="AG23" s="1">
        <f t="shared" ca="1" si="44"/>
        <v>26.772729504483323</v>
      </c>
      <c r="AH23" s="1">
        <f t="shared" ca="1" si="44"/>
        <v>28.19289218100219</v>
      </c>
      <c r="AI23" s="1">
        <f t="shared" ca="1" si="44"/>
        <v>29.775787819537044</v>
      </c>
      <c r="AJ23" s="1">
        <f t="shared" ca="1" si="44"/>
        <v>31.569189192374367</v>
      </c>
      <c r="AK23" s="1">
        <f t="shared" ca="1" si="44"/>
        <v>33.620172764547554</v>
      </c>
      <c r="AL23" s="1">
        <f t="shared" ca="1" si="44"/>
        <v>35.973201663614503</v>
      </c>
      <c r="AM23" s="1">
        <f t="shared" ca="1" si="44"/>
        <v>38.668076685867838</v>
      </c>
      <c r="AN23" s="1">
        <f t="shared" ca="1" si="44"/>
        <v>41.737865327172919</v>
      </c>
      <c r="AO23" s="1">
        <f t="shared" ca="1" si="44"/>
        <v>45.206938305938117</v>
      </c>
      <c r="AP23" s="1">
        <f t="shared" ca="1" si="44"/>
        <v>49.089251826799035</v>
      </c>
      <c r="AQ23" s="1">
        <f t="shared" ca="1" si="44"/>
        <v>53.387009825677815</v>
      </c>
      <c r="AR23" s="1">
        <f t="shared" ca="1" si="44"/>
        <v>58.089823039778075</v>
      </c>
      <c r="AS23" s="1">
        <f t="shared" ca="1" si="44"/>
        <v>63.174451996842471</v>
      </c>
      <c r="AT23" s="1">
        <f t="shared" ca="1" si="44"/>
        <v>68.605181501172325</v>
      </c>
      <c r="AU23" s="1">
        <f t="shared" ca="1" si="44"/>
        <v>74.334828727674662</v>
      </c>
      <c r="AV23" s="1">
        <f t="shared" ca="1" si="44"/>
        <v>80.306340182748855</v>
      </c>
      <c r="AW23" s="1">
        <f t="shared" ca="1" si="44"/>
        <v>86.45488927373647</v>
      </c>
      <c r="AX23" s="1">
        <f ca="1">+(AW23+AY23+AX22)/3</f>
        <v>92.710350332615164</v>
      </c>
      <c r="AY23" s="1">
        <v>99</v>
      </c>
    </row>
  </sheetData>
  <conditionalFormatting sqref="Q16:AY2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I6:BV28"/>
  <sheetViews>
    <sheetView workbookViewId="0">
      <selection activeCell="AI31" sqref="AI31"/>
    </sheetView>
  </sheetViews>
  <sheetFormatPr baseColWidth="10" defaultColWidth="2.28515625" defaultRowHeight="15" x14ac:dyDescent="0.25"/>
  <cols>
    <col min="9" max="9" width="4" customWidth="1"/>
    <col min="34" max="34" width="5.140625" customWidth="1"/>
    <col min="74" max="74" width="2.85546875" customWidth="1"/>
  </cols>
  <sheetData>
    <row r="6" spans="9:74" ht="14.25" customHeight="1" x14ac:dyDescent="0.25">
      <c r="I6" t="s">
        <v>2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H6" t="s">
        <v>1</v>
      </c>
      <c r="AS6" t="s">
        <v>2</v>
      </c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R6" t="s">
        <v>1</v>
      </c>
      <c r="BV6" s="2" t="s">
        <v>0</v>
      </c>
    </row>
    <row r="7" spans="9:74" ht="14.25" customHeight="1" x14ac:dyDescent="0.25">
      <c r="I7" t="s">
        <v>2</v>
      </c>
      <c r="L7" s="3"/>
      <c r="M7" s="3"/>
      <c r="N7" s="3"/>
      <c r="O7" s="3"/>
      <c r="P7" s="3"/>
      <c r="Q7" s="3"/>
      <c r="R7" s="3"/>
      <c r="S7" s="2" t="s">
        <v>0</v>
      </c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H7" t="s">
        <v>1</v>
      </c>
      <c r="AS7" t="s">
        <v>3</v>
      </c>
      <c r="AV7" s="3"/>
      <c r="AW7" s="3"/>
      <c r="AX7" s="3"/>
      <c r="AY7" s="3"/>
      <c r="AZ7" s="3"/>
      <c r="BA7" s="3"/>
      <c r="BB7" s="3"/>
      <c r="BC7" s="2" t="s">
        <v>0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R7" t="s">
        <v>1</v>
      </c>
      <c r="BV7" s="2" t="s">
        <v>0</v>
      </c>
    </row>
    <row r="8" spans="9:74" ht="14.25" customHeight="1" x14ac:dyDescent="0.25">
      <c r="I8" t="s">
        <v>2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H8" t="s">
        <v>1</v>
      </c>
      <c r="AS8" t="s">
        <v>4</v>
      </c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R8" t="s">
        <v>1</v>
      </c>
      <c r="BV8" s="2" t="s">
        <v>0</v>
      </c>
    </row>
    <row r="9" spans="9:74" ht="14.25" customHeight="1" x14ac:dyDescent="0.25">
      <c r="I9" t="s">
        <v>2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H9" t="s">
        <v>1</v>
      </c>
      <c r="AS9" t="s">
        <v>5</v>
      </c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R9" t="s">
        <v>1</v>
      </c>
      <c r="BV9" s="2" t="s">
        <v>0</v>
      </c>
    </row>
    <row r="10" spans="9:74" ht="14.25" customHeight="1" x14ac:dyDescent="0.25">
      <c r="I10" t="s">
        <v>2</v>
      </c>
      <c r="AH10" t="s">
        <v>1</v>
      </c>
      <c r="AS10" t="s">
        <v>6</v>
      </c>
      <c r="BR10" t="s">
        <v>1</v>
      </c>
      <c r="BV10" s="2" t="s">
        <v>0</v>
      </c>
    </row>
    <row r="11" spans="9:74" ht="14.25" customHeight="1" x14ac:dyDescent="0.25">
      <c r="I11" t="s">
        <v>2</v>
      </c>
      <c r="AH11" t="s">
        <v>1</v>
      </c>
      <c r="AS11" t="s">
        <v>7</v>
      </c>
      <c r="BR11" t="s">
        <v>1</v>
      </c>
      <c r="BV11" s="2" t="s">
        <v>0</v>
      </c>
    </row>
    <row r="12" spans="9:74" ht="14.25" customHeight="1" x14ac:dyDescent="0.25">
      <c r="I12" t="s">
        <v>2</v>
      </c>
      <c r="L12" s="2" t="s">
        <v>0</v>
      </c>
      <c r="M12" s="2" t="s">
        <v>0</v>
      </c>
      <c r="N12" s="2" t="s">
        <v>0</v>
      </c>
      <c r="O12" s="2" t="s">
        <v>0</v>
      </c>
      <c r="P12" s="2" t="s">
        <v>0</v>
      </c>
      <c r="Q12" s="2" t="s">
        <v>0</v>
      </c>
      <c r="R12" s="2" t="s">
        <v>0</v>
      </c>
      <c r="S12" s="2" t="s">
        <v>0</v>
      </c>
      <c r="T12" s="2" t="s">
        <v>0</v>
      </c>
      <c r="U12" s="2" t="s">
        <v>0</v>
      </c>
      <c r="V12" s="2" t="s">
        <v>0</v>
      </c>
      <c r="W12" s="2" t="s">
        <v>0</v>
      </c>
      <c r="X12" s="2" t="s">
        <v>0</v>
      </c>
      <c r="Y12" s="2" t="s">
        <v>0</v>
      </c>
      <c r="Z12" s="2" t="s">
        <v>0</v>
      </c>
      <c r="AA12" s="2" t="s">
        <v>0</v>
      </c>
      <c r="AB12" s="2" t="s">
        <v>0</v>
      </c>
      <c r="AC12" s="2" t="s">
        <v>0</v>
      </c>
      <c r="AD12" s="2" t="s">
        <v>0</v>
      </c>
      <c r="AE12" s="2" t="s">
        <v>0</v>
      </c>
      <c r="AH12" t="s">
        <v>1</v>
      </c>
      <c r="AS12" t="s">
        <v>8</v>
      </c>
      <c r="AV12" s="2" t="s">
        <v>0</v>
      </c>
      <c r="AW12" s="2" t="s">
        <v>0</v>
      </c>
      <c r="AX12" s="2" t="s">
        <v>0</v>
      </c>
      <c r="AY12" s="2" t="s">
        <v>0</v>
      </c>
      <c r="AZ12" s="2" t="s">
        <v>0</v>
      </c>
      <c r="BA12" s="2" t="s">
        <v>0</v>
      </c>
      <c r="BB12" s="2" t="s">
        <v>0</v>
      </c>
      <c r="BC12" s="2" t="s">
        <v>0</v>
      </c>
      <c r="BD12" s="2" t="s">
        <v>0</v>
      </c>
      <c r="BE12" s="2" t="s">
        <v>0</v>
      </c>
      <c r="BF12" s="2" t="s">
        <v>0</v>
      </c>
      <c r="BG12" s="2" t="s">
        <v>0</v>
      </c>
      <c r="BH12" s="2" t="s">
        <v>0</v>
      </c>
      <c r="BI12" s="2" t="s">
        <v>0</v>
      </c>
      <c r="BJ12" s="2" t="s">
        <v>0</v>
      </c>
      <c r="BK12" s="2" t="s">
        <v>0</v>
      </c>
      <c r="BL12" s="2" t="s">
        <v>0</v>
      </c>
      <c r="BM12" s="2" t="s">
        <v>0</v>
      </c>
      <c r="BN12" s="2" t="s">
        <v>0</v>
      </c>
      <c r="BO12" s="2" t="s">
        <v>0</v>
      </c>
      <c r="BR12" t="s">
        <v>1</v>
      </c>
      <c r="BV12" s="2" t="s">
        <v>0</v>
      </c>
    </row>
    <row r="13" spans="9:74" ht="14.25" customHeight="1" x14ac:dyDescent="0.25">
      <c r="I13" t="s">
        <v>2</v>
      </c>
      <c r="L13" s="2" t="s">
        <v>0</v>
      </c>
      <c r="M13" s="2" t="s">
        <v>0</v>
      </c>
      <c r="N13" s="2" t="s">
        <v>0</v>
      </c>
      <c r="O13" s="2" t="s">
        <v>0</v>
      </c>
      <c r="P13" s="2" t="s">
        <v>0</v>
      </c>
      <c r="Q13" s="2" t="s">
        <v>0</v>
      </c>
      <c r="R13" s="2" t="s">
        <v>0</v>
      </c>
      <c r="S13" s="2" t="s">
        <v>0</v>
      </c>
      <c r="T13" s="2" t="s">
        <v>0</v>
      </c>
      <c r="U13" s="2" t="s">
        <v>0</v>
      </c>
      <c r="V13" s="2" t="s">
        <v>0</v>
      </c>
      <c r="W13" s="2" t="s">
        <v>0</v>
      </c>
      <c r="X13" s="2" t="s">
        <v>0</v>
      </c>
      <c r="Z13" s="2" t="s">
        <v>0</v>
      </c>
      <c r="AA13" s="2" t="s">
        <v>0</v>
      </c>
      <c r="AB13" s="2" t="s">
        <v>0</v>
      </c>
      <c r="AC13" s="2" t="s">
        <v>0</v>
      </c>
      <c r="AD13" s="2" t="s">
        <v>0</v>
      </c>
      <c r="AE13" s="2" t="s">
        <v>0</v>
      </c>
      <c r="AH13" t="s">
        <v>1</v>
      </c>
      <c r="AS13" t="s">
        <v>9</v>
      </c>
      <c r="AV13" s="2" t="s">
        <v>0</v>
      </c>
      <c r="AW13" s="2" t="s">
        <v>0</v>
      </c>
      <c r="AX13" s="2" t="s">
        <v>0</v>
      </c>
      <c r="AY13" s="2" t="s">
        <v>0</v>
      </c>
      <c r="AZ13" s="2" t="s">
        <v>0</v>
      </c>
      <c r="BA13" s="2" t="s">
        <v>0</v>
      </c>
      <c r="BB13" s="2" t="s">
        <v>0</v>
      </c>
      <c r="BC13" s="2" t="s">
        <v>0</v>
      </c>
      <c r="BD13" s="2" t="s">
        <v>0</v>
      </c>
      <c r="BE13" s="2" t="s">
        <v>0</v>
      </c>
      <c r="BF13" s="2" t="s">
        <v>0</v>
      </c>
      <c r="BG13" s="2" t="s">
        <v>0</v>
      </c>
      <c r="BH13" s="2" t="s">
        <v>0</v>
      </c>
      <c r="BJ13" s="2" t="s">
        <v>0</v>
      </c>
      <c r="BK13" s="2" t="s">
        <v>0</v>
      </c>
      <c r="BL13" s="2" t="s">
        <v>0</v>
      </c>
      <c r="BM13" s="2" t="s">
        <v>0</v>
      </c>
      <c r="BN13" s="2" t="s">
        <v>0</v>
      </c>
      <c r="BO13" s="2" t="s">
        <v>0</v>
      </c>
      <c r="BR13" t="s">
        <v>1</v>
      </c>
      <c r="BV13" s="2" t="s">
        <v>0</v>
      </c>
    </row>
    <row r="14" spans="9:74" ht="14.25" customHeight="1" x14ac:dyDescent="0.25">
      <c r="I14" t="s">
        <v>2</v>
      </c>
      <c r="L14" s="2" t="s">
        <v>0</v>
      </c>
      <c r="M14" s="2" t="s">
        <v>0</v>
      </c>
      <c r="N14" s="2" t="s">
        <v>0</v>
      </c>
      <c r="O14" s="2" t="s">
        <v>0</v>
      </c>
      <c r="P14" s="2" t="s">
        <v>0</v>
      </c>
      <c r="Q14" s="2" t="s">
        <v>0</v>
      </c>
      <c r="R14" s="2" t="s">
        <v>0</v>
      </c>
      <c r="S14" s="2" t="s">
        <v>0</v>
      </c>
      <c r="T14" s="2" t="s">
        <v>0</v>
      </c>
      <c r="U14" s="2" t="s">
        <v>0</v>
      </c>
      <c r="V14" s="2" t="s">
        <v>0</v>
      </c>
      <c r="W14" s="2" t="s">
        <v>0</v>
      </c>
      <c r="X14" s="2" t="s">
        <v>0</v>
      </c>
      <c r="Y14" s="2" t="s">
        <v>0</v>
      </c>
      <c r="Z14" s="2" t="s">
        <v>0</v>
      </c>
      <c r="AA14" s="2" t="s">
        <v>0</v>
      </c>
      <c r="AB14" s="2" t="s">
        <v>0</v>
      </c>
      <c r="AC14" s="2" t="s">
        <v>0</v>
      </c>
      <c r="AD14" s="2" t="s">
        <v>0</v>
      </c>
      <c r="AE14" s="2" t="s">
        <v>0</v>
      </c>
      <c r="AH14" t="s">
        <v>1</v>
      </c>
      <c r="AS14" t="s">
        <v>10</v>
      </c>
      <c r="AV14" s="2" t="s">
        <v>0</v>
      </c>
      <c r="AW14" s="2" t="s">
        <v>0</v>
      </c>
      <c r="AX14" s="2" t="s">
        <v>0</v>
      </c>
      <c r="AY14" s="2" t="s">
        <v>0</v>
      </c>
      <c r="AZ14" s="2" t="s">
        <v>0</v>
      </c>
      <c r="BA14" s="2" t="s">
        <v>0</v>
      </c>
      <c r="BB14" s="2" t="s">
        <v>0</v>
      </c>
      <c r="BC14" s="2" t="s">
        <v>0</v>
      </c>
      <c r="BD14" s="2" t="s">
        <v>0</v>
      </c>
      <c r="BE14" s="2" t="s">
        <v>0</v>
      </c>
      <c r="BF14" s="2" t="s">
        <v>0</v>
      </c>
      <c r="BG14" s="2" t="s">
        <v>0</v>
      </c>
      <c r="BH14" s="2" t="s">
        <v>0</v>
      </c>
      <c r="BI14" s="2" t="s">
        <v>0</v>
      </c>
      <c r="BJ14" s="2" t="s">
        <v>0</v>
      </c>
      <c r="BK14" s="2" t="s">
        <v>0</v>
      </c>
      <c r="BL14" s="2" t="s">
        <v>0</v>
      </c>
      <c r="BM14" s="2" t="s">
        <v>0</v>
      </c>
      <c r="BN14" s="2" t="s">
        <v>0</v>
      </c>
      <c r="BO14" s="2" t="s">
        <v>0</v>
      </c>
      <c r="BR14" t="s">
        <v>1</v>
      </c>
      <c r="BV14" s="2" t="s">
        <v>0</v>
      </c>
    </row>
    <row r="15" spans="9:74" ht="14.25" customHeight="1" x14ac:dyDescent="0.25">
      <c r="I15" t="s">
        <v>2</v>
      </c>
      <c r="L15" s="2" t="s">
        <v>0</v>
      </c>
      <c r="M15" s="2" t="s">
        <v>0</v>
      </c>
      <c r="N15" s="2" t="s">
        <v>0</v>
      </c>
      <c r="O15" s="2" t="s">
        <v>0</v>
      </c>
      <c r="P15" s="2" t="s">
        <v>0</v>
      </c>
      <c r="Q15" s="2" t="s">
        <v>0</v>
      </c>
      <c r="R15" s="2" t="s">
        <v>0</v>
      </c>
      <c r="S15" s="2" t="s">
        <v>0</v>
      </c>
      <c r="T15" s="2" t="s">
        <v>0</v>
      </c>
      <c r="U15" s="2" t="s">
        <v>0</v>
      </c>
      <c r="V15" s="2" t="s">
        <v>0</v>
      </c>
      <c r="W15" s="2" t="s">
        <v>0</v>
      </c>
      <c r="X15" s="2" t="s">
        <v>0</v>
      </c>
      <c r="Y15" s="2" t="s">
        <v>0</v>
      </c>
      <c r="Z15" s="2" t="s">
        <v>0</v>
      </c>
      <c r="AA15" s="2" t="s">
        <v>0</v>
      </c>
      <c r="AB15" s="2" t="s">
        <v>0</v>
      </c>
      <c r="AC15" s="2" t="s">
        <v>0</v>
      </c>
      <c r="AD15" s="2" t="s">
        <v>0</v>
      </c>
      <c r="AE15" s="2" t="s">
        <v>0</v>
      </c>
      <c r="AH15" t="s">
        <v>1</v>
      </c>
      <c r="AS15" t="s">
        <v>11</v>
      </c>
      <c r="AV15" s="2" t="s">
        <v>0</v>
      </c>
      <c r="AW15" s="2" t="s">
        <v>0</v>
      </c>
      <c r="AX15" s="2" t="s">
        <v>0</v>
      </c>
      <c r="AY15" s="2" t="s">
        <v>0</v>
      </c>
      <c r="AZ15" s="2" t="s">
        <v>0</v>
      </c>
      <c r="BA15" s="2" t="s">
        <v>0</v>
      </c>
      <c r="BB15" s="2" t="s">
        <v>0</v>
      </c>
      <c r="BC15" s="2" t="s">
        <v>0</v>
      </c>
      <c r="BD15" s="2" t="s">
        <v>0</v>
      </c>
      <c r="BE15" s="2" t="s">
        <v>0</v>
      </c>
      <c r="BF15" s="2" t="s">
        <v>0</v>
      </c>
      <c r="BG15" s="2" t="s">
        <v>0</v>
      </c>
      <c r="BH15" s="2" t="s">
        <v>0</v>
      </c>
      <c r="BI15" s="2" t="s">
        <v>0</v>
      </c>
      <c r="BJ15" s="2" t="s">
        <v>0</v>
      </c>
      <c r="BK15" s="2" t="s">
        <v>0</v>
      </c>
      <c r="BL15" s="2" t="s">
        <v>0</v>
      </c>
      <c r="BM15" s="2" t="s">
        <v>0</v>
      </c>
      <c r="BN15" s="2" t="s">
        <v>0</v>
      </c>
      <c r="BO15" s="2" t="s">
        <v>0</v>
      </c>
      <c r="BR15" t="s">
        <v>1</v>
      </c>
      <c r="BV15" s="2" t="s">
        <v>0</v>
      </c>
    </row>
    <row r="20" spans="9:34" ht="17.25" x14ac:dyDescent="0.25">
      <c r="I20" t="s">
        <v>2</v>
      </c>
      <c r="N20" s="3"/>
      <c r="O20" s="3"/>
      <c r="P20" s="3"/>
      <c r="Q20" s="3"/>
      <c r="R20" s="2" t="s">
        <v>0</v>
      </c>
      <c r="S20" s="2" t="s">
        <v>0</v>
      </c>
      <c r="T20" s="2" t="s">
        <v>0</v>
      </c>
      <c r="U20" s="2" t="s">
        <v>0</v>
      </c>
      <c r="AG20" s="2" t="s">
        <v>0</v>
      </c>
      <c r="AH20" t="s">
        <v>1</v>
      </c>
    </row>
    <row r="21" spans="9:34" ht="17.25" x14ac:dyDescent="0.25">
      <c r="I21" t="s">
        <v>2</v>
      </c>
      <c r="N21" s="3"/>
      <c r="O21" s="3"/>
      <c r="P21" s="2" t="s">
        <v>0</v>
      </c>
      <c r="R21" s="2" t="s">
        <v>0</v>
      </c>
      <c r="S21" s="2" t="s">
        <v>0</v>
      </c>
      <c r="U21" s="2" t="s">
        <v>0</v>
      </c>
      <c r="AG21" s="2" t="s">
        <v>0</v>
      </c>
      <c r="AH21" t="s">
        <v>1</v>
      </c>
    </row>
    <row r="22" spans="9:34" ht="17.25" x14ac:dyDescent="0.25">
      <c r="I22" t="s">
        <v>2</v>
      </c>
      <c r="N22" s="3"/>
      <c r="O22" s="3"/>
      <c r="P22" s="3"/>
      <c r="Q22" s="3"/>
      <c r="R22" s="2" t="s">
        <v>0</v>
      </c>
      <c r="S22" s="2" t="s">
        <v>0</v>
      </c>
      <c r="T22" s="2" t="s">
        <v>0</v>
      </c>
      <c r="U22" s="2" t="s">
        <v>0</v>
      </c>
      <c r="AG22" s="2" t="s">
        <v>0</v>
      </c>
      <c r="AH22" t="s">
        <v>1</v>
      </c>
    </row>
    <row r="23" spans="9:34" ht="17.25" x14ac:dyDescent="0.25">
      <c r="I23" t="s">
        <v>2</v>
      </c>
      <c r="N23" s="3"/>
      <c r="O23" s="3"/>
      <c r="P23" s="3"/>
      <c r="Q23" s="3"/>
      <c r="R23" s="2" t="s">
        <v>0</v>
      </c>
      <c r="S23" s="2" t="s">
        <v>0</v>
      </c>
      <c r="T23" s="2" t="s">
        <v>0</v>
      </c>
      <c r="U23" s="2" t="s">
        <v>0</v>
      </c>
      <c r="AG23" s="2" t="s">
        <v>0</v>
      </c>
      <c r="AH23" t="s">
        <v>1</v>
      </c>
    </row>
    <row r="25" spans="9:34" ht="17.25" x14ac:dyDescent="0.25">
      <c r="N25" s="2" t="s">
        <v>0</v>
      </c>
      <c r="O25" s="2" t="s">
        <v>0</v>
      </c>
      <c r="P25" s="2" t="s">
        <v>0</v>
      </c>
      <c r="Q25" s="2" t="s">
        <v>0</v>
      </c>
      <c r="R25" s="3"/>
      <c r="S25" s="3"/>
      <c r="T25" s="3"/>
      <c r="U25" s="3"/>
      <c r="AG25" s="2" t="s">
        <v>0</v>
      </c>
      <c r="AH25" t="s">
        <v>1</v>
      </c>
    </row>
    <row r="26" spans="9:34" ht="17.25" x14ac:dyDescent="0.25">
      <c r="N26" s="2" t="s">
        <v>0</v>
      </c>
      <c r="O26" s="2" t="s">
        <v>0</v>
      </c>
      <c r="Q26" s="2" t="s">
        <v>0</v>
      </c>
      <c r="R26" s="3"/>
      <c r="S26" s="3"/>
      <c r="T26" s="2" t="s">
        <v>0</v>
      </c>
      <c r="U26" s="3"/>
      <c r="AG26" s="2" t="s">
        <v>0</v>
      </c>
      <c r="AH26" t="s">
        <v>1</v>
      </c>
    </row>
    <row r="27" spans="9:34" ht="17.25" x14ac:dyDescent="0.25">
      <c r="N27" s="2" t="s">
        <v>0</v>
      </c>
      <c r="O27" s="2" t="s">
        <v>0</v>
      </c>
      <c r="P27" s="2" t="s">
        <v>0</v>
      </c>
      <c r="Q27" s="2" t="s">
        <v>0</v>
      </c>
      <c r="R27" s="3"/>
      <c r="S27" s="3"/>
      <c r="T27" s="3"/>
      <c r="U27" s="3"/>
      <c r="AG27" s="2" t="s">
        <v>0</v>
      </c>
      <c r="AH27" t="s">
        <v>1</v>
      </c>
    </row>
    <row r="28" spans="9:34" ht="17.25" x14ac:dyDescent="0.25">
      <c r="N28" s="2" t="s">
        <v>0</v>
      </c>
      <c r="O28" s="2" t="s">
        <v>0</v>
      </c>
      <c r="P28" s="2" t="s">
        <v>0</v>
      </c>
      <c r="Q28" s="2" t="s">
        <v>0</v>
      </c>
      <c r="R28" s="3"/>
      <c r="S28" s="3"/>
      <c r="T28" s="3"/>
      <c r="U28" s="3"/>
      <c r="AG28" s="2" t="s">
        <v>0</v>
      </c>
      <c r="AH28" t="s">
        <v>1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90374-BC62-45F2-88FB-4028F401009E}">
  <dimension ref="B3:H21"/>
  <sheetViews>
    <sheetView tabSelected="1" workbookViewId="0">
      <selection activeCell="A20" sqref="A20"/>
    </sheetView>
  </sheetViews>
  <sheetFormatPr baseColWidth="10" defaultRowHeight="15" x14ac:dyDescent="0.25"/>
  <cols>
    <col min="3" max="3" width="2.7109375" customWidth="1"/>
    <col min="4" max="4" width="9.7109375" customWidth="1"/>
    <col min="5" max="5" width="6.85546875" customWidth="1"/>
    <col min="6" max="6" width="7.28515625" style="6" customWidth="1"/>
    <col min="7" max="7" width="5.7109375" customWidth="1"/>
  </cols>
  <sheetData>
    <row r="3" spans="2:8" x14ac:dyDescent="0.25">
      <c r="E3" s="12" t="s">
        <v>25</v>
      </c>
      <c r="F3" s="10">
        <v>299792458</v>
      </c>
      <c r="G3" s="10"/>
      <c r="H3" t="s">
        <v>22</v>
      </c>
    </row>
    <row r="9" spans="2:8" x14ac:dyDescent="0.25">
      <c r="D9" t="s">
        <v>24</v>
      </c>
      <c r="F9" s="11" t="s">
        <v>23</v>
      </c>
    </row>
    <row r="10" spans="2:8" x14ac:dyDescent="0.25">
      <c r="B10" s="8"/>
      <c r="C10" s="8"/>
      <c r="D10" s="8"/>
      <c r="E10" s="8"/>
      <c r="F10" s="9"/>
      <c r="G10" s="8"/>
    </row>
    <row r="11" spans="2:8" x14ac:dyDescent="0.25">
      <c r="B11" t="s">
        <v>12</v>
      </c>
      <c r="D11" s="4">
        <f>+nC/F11*1000000000</f>
        <v>788927521052631.5</v>
      </c>
      <c r="E11" s="4" t="s">
        <v>14</v>
      </c>
      <c r="F11" s="6">
        <v>380</v>
      </c>
      <c r="G11" t="s">
        <v>13</v>
      </c>
    </row>
    <row r="12" spans="2:8" x14ac:dyDescent="0.25">
      <c r="B12" t="s">
        <v>12</v>
      </c>
      <c r="D12" s="4">
        <f>+nC/F12*1000000000</f>
        <v>384349305128205.13</v>
      </c>
      <c r="E12" s="4" t="s">
        <v>14</v>
      </c>
      <c r="F12" s="6">
        <v>780</v>
      </c>
      <c r="G12" t="s">
        <v>13</v>
      </c>
    </row>
    <row r="15" spans="2:8" x14ac:dyDescent="0.25">
      <c r="B15" t="s">
        <v>19</v>
      </c>
      <c r="D15" s="5">
        <f>+nC/(F15/100*1000*1000*1000)</f>
        <v>29.979245800000001</v>
      </c>
      <c r="E15" t="s">
        <v>21</v>
      </c>
      <c r="F15" s="6">
        <v>1</v>
      </c>
      <c r="G15" t="s">
        <v>20</v>
      </c>
    </row>
    <row r="20" spans="2:7" x14ac:dyDescent="0.25">
      <c r="B20" t="s">
        <v>15</v>
      </c>
      <c r="D20">
        <v>30</v>
      </c>
      <c r="E20" t="s">
        <v>16</v>
      </c>
      <c r="F20" s="7">
        <f>+nC/D20/1000000</f>
        <v>9.9930819333333343</v>
      </c>
      <c r="G20" t="s">
        <v>17</v>
      </c>
    </row>
    <row r="21" spans="2:7" x14ac:dyDescent="0.25">
      <c r="D21">
        <v>200</v>
      </c>
      <c r="E21" t="s">
        <v>18</v>
      </c>
      <c r="F21" s="7">
        <f>+nC/D21/1000000</f>
        <v>1.4989622900000001</v>
      </c>
      <c r="G21" t="s">
        <v>17</v>
      </c>
    </row>
  </sheetData>
  <mergeCells count="1">
    <mergeCell ref="F3:G3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Gradient</vt:lpstr>
      <vt:lpstr>E-Bands</vt:lpstr>
      <vt:lpstr>Frequencies</vt:lpstr>
      <vt:lpstr>_C</vt:lpstr>
      <vt:lpstr>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Mirek Pesta</dc:creator>
  <cp:lastModifiedBy>Mirek Pesta</cp:lastModifiedBy>
  <dcterms:created xsi:type="dcterms:W3CDTF">2020-02-04T16:17:39Z</dcterms:created>
  <dcterms:modified xsi:type="dcterms:W3CDTF">2020-02-05T15:09:30Z</dcterms:modified>
</cp:coreProperties>
</file>